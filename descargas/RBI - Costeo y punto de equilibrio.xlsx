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796282c1c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3680442c0ba450d"/>
    <x:sheet xmlns:r="http://schemas.openxmlformats.org/officeDocument/2006/relationships" name="Ventas" sheetId="2" r:id="Rdb7b83eb37914b86"/>
    <x:sheet xmlns:r="http://schemas.openxmlformats.org/officeDocument/2006/relationships" name="Inventario" sheetId="3" r:id="R387f3985f5c14a96"/>
    <x:sheet xmlns:r="http://schemas.openxmlformats.org/officeDocument/2006/relationships" name="Movimientos" sheetId="4" r:id="Rc80ede4702ff4927"/>
    <x:sheet xmlns:r="http://schemas.openxmlformats.org/officeDocument/2006/relationships" name="Platillo" sheetId="5" r:id="Raa95b93a9db14696"/>
    <x:sheet xmlns:r="http://schemas.openxmlformats.org/officeDocument/2006/relationships" name="Bebida" sheetId="6" r:id="R13df1468ba4e472f"/>
    <x:sheet xmlns:r="http://schemas.openxmlformats.org/officeDocument/2006/relationships" name="Equilibrio" sheetId="7" r:id="R1a5b8d2e8e784997"/>
    <x:sheet xmlns:r="http://schemas.openxmlformats.org/officeDocument/2006/relationships" name="Ayuda" sheetId="8" r:id="R2f5522a47093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&quot;$&quot;#,##0.00;(&quot;$&quot;#,##0.00);&quot;—&quot;"/>
    <x:numFmt numFmtId="202" formatCode="#,##0;(#,##0);&quot;—&quot;"/>
    <x:numFmt numFmtId="203" formatCode="0"/>
    <x:numFmt numFmtId="204" formatCode="#,##0.00;(#,##0.00);&quot;—&quot;"/>
    <x:numFmt numFmtId="205" formatCode="0.0%"/>
    <x:numFmt numFmtId="206" formatCode="&quot;$&quot;0.0000"/>
  </x:numFmts>
  <x:fonts count="13">
    <x:font>
      <x:sz val="11"/>
      <x:name val="Carlito"/>
    </x:font>
    <x:font>
      <x:sz val="11"/>
      <x:color rgb="FF202724"/>
      <x:name val="Arial"/>
    </x:font>
    <x:font>
      <x:b/>
      <x:sz val="16"/>
      <x:color rgb="FF202724"/>
      <x:name val="Arial"/>
    </x:font>
    <x:font>
      <x:sz val="10"/>
      <x:color rgb="FF64716A"/>
      <x:name val="Arial"/>
    </x:font>
    <x:font>
      <x:sz val="10"/>
      <x:color rgb="FF202724"/>
      <x:name val="Arial"/>
    </x:font>
    <x:font>
      <x:b/>
      <x:sz val="11"/>
      <x:color rgb="FF285D4C"/>
      <x:name val="Arial"/>
    </x:font>
    <x:font>
      <x:b/>
      <x:sz val="19"/>
      <x:color rgb="FF202724"/>
      <x:name val="Arial"/>
    </x:font>
    <x:font>
      <x:b/>
      <x:sz val="17"/>
      <x:color rgb="FF202724"/>
      <x:name val="Arial"/>
    </x:font>
    <x:font>
      <x:b/>
      <x:sz val="10"/>
      <x:color rgb="FF64716A"/>
      <x:name val="Arial"/>
    </x:font>
    <x:font>
      <x:sz val="11"/>
      <x:color rgb="FF174B90"/>
      <x:name val="Arial"/>
    </x:font>
    <x:font>
      <x:b/>
      <x:sz val="11"/>
      <x:color rgb="FFFFFFFF"/>
      <x:name val="Arial"/>
    </x:font>
    <x:font>
      <x:b/>
      <x:sz val="11"/>
      <x:color rgb="FF202724"/>
      <x:name val="Arial"/>
    </x:font>
    <x:font>
      <x:sz val="11"/>
      <x:color rgb="FF64716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EACB"/>
      </x:patternFill>
    </x:fill>
    <x:fill>
      <x:patternFill patternType="solid">
        <x:fgColor rgb="FFE8F1EC"/>
      </x:patternFill>
    </x:fill>
    <x:fill>
      <x:patternFill patternType="solid">
        <x:fgColor rgb="FFFFF3CD"/>
      </x:patternFill>
    </x:fill>
    <x:fill>
      <x:patternFill patternType="solid">
        <x:fgColor rgb="FF20272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B58A3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B58A36"/>
      </x:top>
      <x:bottom/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vertical="center"/>
    </x:xf>
    <x:xf numFmtId="202" fontId="7" fillId="2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6" borderId="2" xfId="0" applyNumberFormat="1" applyFont="1" applyFill="1" applyBorder="1" applyAlignment="1">
      <x:alignment vertical="center"/>
    </x:xf>
    <x:xf numFmtId="0" fontId="10" fillId="6" borderId="3" xfId="0" applyNumberFormat="1" applyFont="1" applyFill="1" applyBorder="1" applyAlignment="1">
      <x:alignment vertical="center"/>
    </x:xf>
    <x:xf numFmtId="0" fontId="10" fillId="6" borderId="4" xfId="0" applyNumberFormat="1" applyFont="1" applyFill="1" applyBorder="1" applyAlignment="1">
      <x:alignment vertical="center"/>
    </x:xf>
    <x:xf numFmtId="0" fontId="10" fillId="6" borderId="2" xfId="0" applyNumberFormat="1" applyFont="1" applyFill="1" applyBorder="1" applyAlignment="1">
      <x:alignment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horizontal="center" vertical="center" wrapText="1"/>
    </x:xf>
    <x:xf numFmtId="0" fontId="10" fillId="6" borderId="4" xfId="0" applyNumberFormat="1" applyFont="1" applyFill="1" applyBorder="1" applyAlignment="1">
      <x:alignment horizontal="center" vertical="center" wrapText="1"/>
    </x:xf>
    <x:xf numFmtId="201" fontId="9" fillId="5" borderId="0" xfId="0" applyNumberFormat="1" applyFont="1" applyFill="1" applyBorder="1" applyAlignment="1">
      <x:alignment vertical="center"/>
    </x:xf>
    <x:xf numFmtId="202" fontId="9" fillId="5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4" fontId="9" fillId="5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5" fontId="2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201" fontId="11" fillId="2" borderId="0" xfId="0" applyNumberFormat="1" applyFont="1" applyFill="1" applyBorder="1" applyAlignment="1">
      <x:alignment vertical="center"/>
    </x:xf>
    <x:xf numFmtId="0" fontId="11" fillId="2" borderId="5" xfId="0" applyNumberFormat="1" applyFont="1" applyFill="1" applyBorder="1" applyAlignment="1">
      <x:alignment vertical="center"/>
    </x:xf>
    <x:xf numFmtId="201" fontId="11" fillId="2" borderId="5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A02D2B"/>
      </x:font>
      <x:fill>
        <x:patternFill patternType="solid">
          <x:bgColor rgb="FFFBE8E6"/>
        </x:patternFill>
      </x:fill>
    </x:dxf>
    <x:dxf>
      <x:font>
        <x:b/>
        <x:color rgb="FFA02D2B"/>
      </x:font>
      <x:fill>
        <x:patternFill patternType="solid">
          <x:bgColor rgb="FFFBE8E6"/>
        </x:patternFill>
      </x:fill>
    </x:dxf>
    <x:dxf>
      <x:font>
        <x:color rgb="FFA02D2B"/>
      </x:font>
      <x:fill>
        <x:patternFill patternType="solid">
          <x:bgColor rgb="FFFBE8E6"/>
        </x:patternFill>
      </x:fill>
    </x:dxf>
    <x:dxf>
      <x:font>
        <x:b/>
        <x:color rgb="FFA02D2B"/>
      </x:font>
      <x:fill>
        <x:patternFill patternType="solid">
          <x:bgColor rgb="FFFBE8E6"/>
        </x:patternFill>
      </x:fill>
    </x:dxf>
    <x:dxf>
      <x:font>
        <x:b/>
        <x:color rgb="FF795819"/>
      </x:font>
      <x:fill>
        <x:patternFill patternType="solid">
          <x:bgColor rgb="FFF5EACB"/>
        </x:patternFill>
      </x:fill>
    </x:dxf>
    <x:dxf>
      <x:font>
        <x:b/>
        <x:color rgb="FFA02D2B"/>
      </x:font>
      <x:fill>
        <x:patternFill patternType="solid">
          <x:bgColor rgb="FFFBE8E6"/>
        </x:patternFill>
      </x:fill>
    </x:dxf>
    <x:dxf>
      <x:font>
        <x:b/>
        <x:color rgb="FFA02D2B"/>
      </x:font>
      <x:fill>
        <x:patternFill patternType="solid">
          <x:bgColor rgb="FFFBE8E6"/>
        </x:patternFill>
      </x:fill>
    </x:dxf>
    <x:dxf>
      <x:font>
        <x:b/>
        <x:color rgb="FFA02D2B"/>
      </x:font>
      <x:fill>
        <x:patternFill patternType="solid">
          <x:bgColor rgb="FFFBE8E6"/>
        </x:patternFill>
      </x:fill>
    </x:dxf>
    <x:dxf>
      <x:font>
        <x:color rgb="FFA02D2B"/>
      </x:font>
      <x:fill>
        <x:patternFill patternType="solid">
          <x:bgColor rgb="FFFBE8E6"/>
        </x:patternFill>
      </x:fill>
    </x:dxf>
    <x:dxf>
      <x:font>
        <x:b/>
        <x:color rgb="FFA02D2B"/>
      </x:font>
      <x:fill>
        <x:patternFill patternType="solid">
          <x:bgColor rgb="FFFB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bf0f8122947e4" /><Relationship Type="http://schemas.openxmlformats.org/officeDocument/2006/relationships/theme" Target="/xl/theme/theme1.xml" Id="R1c166d02ded9417d" /><Relationship Type="http://schemas.openxmlformats.org/officeDocument/2006/relationships/sharedStrings" Target="/xl/sharedStrings.xml" Id="R7d64c280ff8244df" /><Relationship Type="http://schemas.openxmlformats.org/officeDocument/2006/relationships/worksheet" Target="/xl/worksheets/sheet1.xml" Id="R33680442c0ba450d" /><Relationship Type="http://schemas.openxmlformats.org/officeDocument/2006/relationships/worksheet" Target="/xl/worksheets/sheet2.xml" Id="Rdb7b83eb37914b86" /><Relationship Type="http://schemas.openxmlformats.org/officeDocument/2006/relationships/worksheet" Target="/xl/worksheets/sheet3.xml" Id="R387f3985f5c14a96" /><Relationship Type="http://schemas.openxmlformats.org/officeDocument/2006/relationships/worksheet" Target="/xl/worksheets/sheet4.xml" Id="Rc80ede4702ff4927" /><Relationship Type="http://schemas.openxmlformats.org/officeDocument/2006/relationships/worksheet" Target="/xl/worksheets/sheet5.xml" Id="Raa95b93a9db14696" /><Relationship Type="http://schemas.openxmlformats.org/officeDocument/2006/relationships/worksheet" Target="/xl/worksheets/sheet6.xml" Id="R13df1468ba4e472f" /><Relationship Type="http://schemas.openxmlformats.org/officeDocument/2006/relationships/worksheet" Target="/xl/worksheets/sheet7.xml" Id="R1a5b8d2e8e784997" /><Relationship Type="http://schemas.openxmlformats.org/officeDocument/2006/relationships/worksheet" Target="/xl/worksheets/sheet8.xml" Id="R2f5522a4709345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d8e854743da46aa" /><Relationship Type="http://schemas.openxmlformats.org/officeDocument/2006/relationships/chart" Target="/xl/drawings/charts/chart1.xml" Id="R98d50acd0d8743f3" /><Relationship Type="http://schemas.openxmlformats.org/officeDocument/2006/relationships/chart" Target="/xl/drawings/charts/chart2.xml" Id="R38b279531c5d4376" /><Relationship Type="http://schemas.openxmlformats.org/officeDocument/2006/relationships/chart" Target="/xl/drawings/charts/chart3.xml" Id="R1c8c7ef54cc74040" /><Relationship Type="http://schemas.openxmlformats.org/officeDocument/2006/relationships/chart" Target="/xl/drawings/charts/chart4.xml" Id="R461cc2d0f8624d8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c68f47523d345d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8794d8e2b624e5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48b4f6d46e7478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8e58b5af4fca480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ae4c38506bb4b0d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e915ea64b3d54258" /><Relationship Type="http://schemas.openxmlformats.org/officeDocument/2006/relationships/chart" Target="/xl/drawings/charts/chart5.xml" Id="R7de7f3eca968401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7b2f2845bd6f43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Ventas de los primeros 7 días (MXN)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Ventas netas</c:v>
          </c:tx>
          <c:spPr>
            <a:solidFill xmlns:a="http://schemas.openxmlformats.org/drawingml/2006/main">
              <a:srgbClr val="285D4C"/>
            </a:solidFill>
            <a:ln xmlns:a="http://schemas.openxmlformats.org/drawingml/2006/main" w="19050">
              <a:solidFill>
                <a:srgbClr val="285D4C"/>
              </a:solidFill>
              <a:prstDash val="solid"/>
            </a:ln>
          </c:spPr>
          <c:marker>
            <c:symbol val="none"/>
          </c:marker>
          <c:cat>
            <c:strRef>
              <c:f>'Resumen'!$B$66:$B$72</c:f>
              <c:strCache>
                <c:ptCount val="0"/>
              </c:strCache>
            </c:strRef>
          </c:cat>
          <c:val>
            <c:numRef>
              <c:f>'Resumen'!$C$66:$C$72</c:f>
              <c:numCache>
                <c:formatCode>"$"#,##0.00;("$"#,##0.00);"—"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Composición de ventas del periodo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Importe</c:v>
          </c:tx>
          <c:cat>
            <c:strRef>
              <c:f>'Resumen'!$F$66:$F$67</c:f>
              <c:strCache>
                <c:ptCount val="0"/>
              </c:strCache>
            </c:strRef>
          </c:cat>
          <c:val>
            <c:numRef>
              <c:f>'Resumen'!$G$66:$G$67</c:f>
              <c:numCache>
                <c:formatCode>"$"#,##0.00;("$"#,##0.00);"—"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Valor de los primeros 8 insumos (MXN)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Valor estimado</c:v>
          </c:tx>
          <c:spPr>
            <a:solidFill xmlns:a="http://schemas.openxmlformats.org/drawingml/2006/main">
              <a:srgbClr val="B58A36"/>
            </a:solidFill>
          </c:spPr>
          <c:invertIfNegative val="0"/>
          <c:cat>
            <c:strRef>
              <c:f>'Resumen'!$I$66:$I$73</c:f>
              <c:strCache>
                <c:ptCount val="0"/>
              </c:strCache>
            </c:strRef>
          </c:cat>
          <c:val>
            <c:numRef>
              <c:f>'Resumen'!$J$66:$J$73</c:f>
              <c:numCache>
                <c:formatCode>"$"#,##0.00;("$"#,##0.00);"—"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Insumos por estado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Insumos</c:v>
          </c:tx>
          <c:spPr>
            <a:solidFill xmlns:a="http://schemas.openxmlformats.org/drawingml/2006/main">
              <a:srgbClr val="285D4C"/>
            </a:solidFill>
          </c:spPr>
          <c:invertIfNegative val="0"/>
          <c:cat>
            <c:strRef>
              <c:f>'Resumen'!$L$66:$L$68</c:f>
              <c:strCache>
                <c:ptCount val="0"/>
              </c:strCache>
            </c:strRef>
          </c:cat>
          <c:val>
            <c:numRef>
              <c:f>'Resumen'!$M$66:$M$68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Ventas y costo total mensual (MXN)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Ventas netas al mes</c:v>
          </c:tx>
          <c:spPr>
            <a:solidFill xmlns:a="http://schemas.openxmlformats.org/drawingml/2006/main">
              <a:srgbClr val="285D4C"/>
            </a:solidFill>
            <a:ln xmlns:a="http://schemas.openxmlformats.org/drawingml/2006/main" w="19050">
              <a:solidFill>
                <a:srgbClr val="285D4C"/>
              </a:solidFill>
              <a:prstDash val="solid"/>
            </a:ln>
          </c:spPr>
          <c:xVal>
            <c:numRef>
              <c:f>'Equilibrio'!$B$21:$B$26</c:f>
              <c:numCache>
                <c:formatCode>"$"#,##0.00;("$"#,##0.00);"—"</c:formatCode>
                <c:ptCount val="0"/>
              </c:numCache>
            </c:numRef>
          </c:xVal>
          <c:yVal>
            <c:numRef>
              <c:f>'Equilibrio'!$B$21:$B$26</c:f>
              <c:numCache>
                <c:formatCode>"$"#,##0.00;("$"#,##0.00);"—"</c:formatCode>
                <c:ptCount val="0"/>
              </c:numCache>
            </c:numRef>
          </c:yVal>
        </c:ser>
        <c:ser>
          <c:idx val="1"/>
          <c:order val="1"/>
          <c:tx>
            <c:v>Costo total</c:v>
          </c:tx>
          <c:spPr>
            <a:solidFill xmlns:a="http://schemas.openxmlformats.org/drawingml/2006/main">
              <a:srgbClr val="B58A36"/>
            </a:solidFill>
            <a:ln xmlns:a="http://schemas.openxmlformats.org/drawingml/2006/main" w="19050">
              <a:solidFill>
                <a:srgbClr val="B58A36"/>
              </a:solidFill>
              <a:prstDash val="solid"/>
            </a:ln>
          </c:spPr>
          <c:xVal>
            <c:numRef>
              <c:f>'Equilibrio'!$B$21:$B$26</c:f>
              <c:numCache>
                <c:formatCode>"$"#,##0.00;("$"#,##0.00);"—"</c:formatCode>
                <c:ptCount val="0"/>
              </c:numCache>
            </c:numRef>
          </c:xVal>
          <c:yVal>
            <c:numRef>
              <c:f>'Equilibrio'!$D$21:$D$26</c:f>
              <c:numCache>
                <c:formatCode>"$"#,##0.00;("$"#,##0.00);"—"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d50acd0d8743f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b279531c5d4376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7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8c7ef54cc74040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1cc2d0f8624d8c"/>
        </a:graphicData>
      </a:graphic>
    </xdr:graphicFrame>
    <xdr:clientData/>
  </xdr:twoCellAnchor>
  <xdr:oneCellAnchor>
    <xdr:from>
      <xdr:col>11</xdr:col>
      <xdr:colOff>0</xdr:colOff>
      <xdr:row>1</xdr:row>
      <xdr:rowOff>0</xdr:rowOff>
    </xdr:from>
    <xdr:ext cx="1714500" cy="571500"/>
    <xdr:pic>
      <xdr:nvPicPr>
        <xdr:cNvPr id="5" name="fabfdab0-d9ae-435b-aa7c-9c23c1370b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8e854743da46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1714500" cy="571500"/>
    <xdr:pic>
      <xdr:nvPicPr>
        <xdr:cNvPr id="1" name="bb9eb979-a179-4033-87ec-d4668d5b87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68f47523d3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12</xdr:col>
      <xdr:colOff>0</xdr:colOff>
      <xdr:row>1</xdr:row>
      <xdr:rowOff>0</xdr:rowOff>
    </xdr:from>
    <xdr:ext cx="1714500" cy="571500"/>
    <xdr:pic>
      <xdr:nvPicPr>
        <xdr:cNvPr id="1" name="df0f00d7-2ae2-4dfc-9d73-6982d9fde5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94d8e2b624e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8</xdr:col>
      <xdr:colOff>0</xdr:colOff>
      <xdr:row>1</xdr:row>
      <xdr:rowOff>0</xdr:rowOff>
    </xdr:from>
    <xdr:ext cx="1714500" cy="571500"/>
    <xdr:pic>
      <xdr:nvPicPr>
        <xdr:cNvPr id="1" name="20ab2635-1c63-4467-82cd-8c5e58a817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8b4f6d46e747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1714500" cy="571500"/>
    <xdr:pic>
      <xdr:nvPicPr>
        <xdr:cNvPr id="1" name="98854037-f1a3-4647-81e2-957ce8796c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58b5af4fca48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1714500" cy="571500"/>
    <xdr:pic>
      <xdr:nvPicPr>
        <xdr:cNvPr id="1" name="8edeb2d4-100b-4fdc-9159-f630d3d0e9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e4c38506bb4b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e7f3eca9684011"/>
        </a:graphicData>
      </a:graphic>
    </xdr:graphicFrame>
    <xdr:clientData/>
  </xdr:twoCellAnchor>
  <xdr:oneCellAnchor>
    <xdr:from>
      <xdr:col>9</xdr:col>
      <xdr:colOff>0</xdr:colOff>
      <xdr:row>1</xdr:row>
      <xdr:rowOff>0</xdr:rowOff>
    </xdr:from>
    <xdr:ext cx="1714500" cy="571500"/>
    <xdr:pic>
      <xdr:nvPicPr>
        <xdr:cNvPr id="2" name="8470df20-6d64-4b93-877d-ec34aac1c1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15ea64b3d542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1714500" cy="571500"/>
    <xdr:pic>
      <xdr:nvPicPr>
        <xdr:cNvPr id="1" name="cd2f6e97-be7b-40ff-81b6-3186d9a5c1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2f2845bd6f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RBI">
      <a:dk1>
        <a:srgbClr val="202724"/>
      </a:dk1>
      <a:lt1>
        <a:srgbClr val="FFFFFF"/>
      </a:lt1>
      <a:dk2>
        <a:srgbClr val="0E2841"/>
      </a:dk2>
      <a:lt2>
        <a:srgbClr val="E8E8E8"/>
      </a:lt2>
      <a:accent1>
        <a:srgbClr val="285D4C"/>
      </a:accent1>
      <a:accent2>
        <a:srgbClr val="B58A36"/>
      </a:accent2>
      <a:accent3>
        <a:srgbClr val="174B90"/>
      </a:accent3>
      <a:accent4>
        <a:srgbClr val="9BADA3"/>
      </a:accent4>
      <a:accent5>
        <a:srgbClr val="D6C58B"/>
      </a:accent5>
      <a:accent6>
        <a:srgbClr val="8E5951"/>
      </a:accent6>
      <a:hlink>
        <a:srgbClr val="285D4C"/>
      </a:hlink>
      <a:folHlink>
        <a:srgbClr val="64716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BI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60d83ac854491c" /><Relationship Id="rIdRBIlink1" Type="http://schemas.openxmlformats.org/officeDocument/2006/relationships/hyperlink" Target="https://rbi-restaurantsbusinessinstitute.com.mx/" TargetMode="External"/><Relationship Id="rIdRBIlink2" Type="http://schemas.openxmlformats.org/officeDocument/2006/relationships/hyperlink" Target="https://wa.me/526141964438" TargetMode="Externa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ca3c967b3f44e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1fb1aa534b0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4c5a87e96444a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e76f4b03118742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6bb8fc83021540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381d7e1bd55f43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d7ec8ef8f52d48b9" /><Relationship Id="rIdRBIlink1" Type="http://schemas.openxmlformats.org/officeDocument/2006/relationships/hyperlink" Target="https://rbi-restaurantsbusinessinstitute.com.mx/" TargetMode="External"/><Relationship Id="rIdRBIlink2" Type="http://schemas.openxmlformats.org/officeDocument/2006/relationships/hyperlink" Target="https://wa.me/526141964438" TargetMode="External"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202724"/>
  </x:sheetPr>
  <x:sheetViews>
    <x:sheetView showGridLines="0" workbookViewId="0"/>
  </x:sheetViews>
  <x:sheetFormatPr defaultRowHeight="15"/>
  <x:cols>
    <x:col min="1" max="1" width="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3"/>
      <x:c r="B2" s="4" t="str">
        <x:v>Control de tu restaurante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4" customHeight="1">
      <x:c r="A3" s="3"/>
      <x:c r="B3" s="5" t="str">
        <x:v>Ventas, costos e inventario para tomar decisiones cotidianas.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26" customHeight="1">
      <x:c r="A6" s="3"/>
      <x:c r="B6" s="8" t="str">
        <x:v>EJEMPLO DIDÁCTICO. Sustituye los datos por los de tu negocio antes de tomar decisiones.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3"/>
    </x:row>
    <x:row r="7" ht="24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 ht="24" customHeight="1">
      <x:c r="A8" s="3"/>
      <x:c r="B8" s="3" t="str">
        <x:v>Periodo de ventas</x:v>
      </x:c>
      <x:c r="C8" s="3"/>
      <x:c r="D8" s="9" t="n">
        <x:f>'Ventas'!C7</x:f>
        <x:v>46296</x:v>
      </x:c>
      <x:c r="E8" s="3"/>
      <x:c r="F8" s="3" t="str">
        <x:v>al</x:v>
      </x:c>
      <x:c r="G8" s="9" t="n">
        <x:f>'Ventas'!F7</x:f>
        <x:v>46326</x:v>
      </x:c>
      <x:c r="H8" s="3"/>
      <x:c r="I8" s="3"/>
      <x:c r="J8" s="10" t="str">
        <x:v>Cambiar periodo</x:v>
      </x:c>
      <x:c r="K8" s="3"/>
      <x:c r="L8" s="3"/>
      <x:c r="M8" s="3"/>
      <x:c r="N8" s="3"/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 ht="24" customHeight="1">
      <x:c r="A10" s="3"/>
      <x:c r="B10" s="11" t="str">
        <x:v>Ventas netas</x:v>
      </x:c>
      <x:c r="C10" s="11"/>
      <x:c r="D10" s="11"/>
      <x:c r="E10" s="11"/>
      <x:c r="F10" s="3"/>
      <x:c r="G10" s="11" t="str">
        <x:v>Ticket promedio</x:v>
      </x:c>
      <x:c r="H10" s="11"/>
      <x:c r="I10" s="11"/>
      <x:c r="J10" s="3"/>
      <x:c r="K10" s="7" t="str">
        <x:v>Contribución</x:v>
      </x:c>
      <x:c r="L10" s="7"/>
      <x:c r="M10" s="7"/>
      <x:c r="N10" s="3"/>
    </x:row>
    <x:row r="11" ht="24" customHeight="1">
      <x:c r="A11" s="3"/>
      <x:c r="B11" s="13" t="n">
        <x:f>'Ventas'!C9</x:f>
        <x:v>37700</x:v>
      </x:c>
      <x:c r="C11" s="11"/>
      <x:c r="D11" s="11"/>
      <x:c r="E11" s="11"/>
      <x:c r="F11" s="3"/>
      <x:c r="G11" s="13" t="n">
        <x:f>'Ventas'!F9</x:f>
        <x:v>147.84313725490196</x:v>
      </x:c>
      <x:c r="H11" s="11"/>
      <x:c r="I11" s="11"/>
      <x:c r="J11" s="3"/>
      <x:c r="K11" s="15" t="n">
        <x:f>'Ventas'!I9</x:f>
        <x:v>24505</x:v>
      </x:c>
      <x:c r="L11" s="7"/>
      <x:c r="M11" s="7"/>
      <x:c r="N11" s="3"/>
    </x:row>
    <x:row r="12" ht="24" customHeight="1">
      <x:c r="A12" s="3"/>
      <x:c r="B12" s="11"/>
      <x:c r="C12" s="11"/>
      <x:c r="D12" s="11"/>
      <x:c r="E12" s="11"/>
      <x:c r="F12" s="3"/>
      <x:c r="G12" s="11"/>
      <x:c r="H12" s="11"/>
      <x:c r="I12" s="11"/>
      <x:c r="J12" s="3"/>
      <x:c r="K12" s="7"/>
      <x:c r="L12" s="7"/>
      <x:c r="M12" s="7"/>
      <x:c r="N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 ht="24" customHeight="1">
      <x:c r="A14" s="3"/>
      <x:c r="B14" s="3" t="str">
        <x:v>Valor estimado del inventario</x:v>
      </x:c>
      <x:c r="C14" s="3"/>
      <x:c r="D14" s="3"/>
      <x:c r="E14" s="3"/>
      <x:c r="F14" s="3"/>
      <x:c r="G14" s="3" t="str">
        <x:v>Insumos por reponer</x:v>
      </x:c>
      <x:c r="H14" s="3"/>
      <x:c r="I14" s="3"/>
      <x:c r="J14" s="3"/>
      <x:c r="K14" s="3" t="str">
        <x:v>Registros por revisar</x:v>
      </x:c>
      <x:c r="L14" s="3"/>
      <x:c r="M14" s="3"/>
      <x:c r="N14" s="3"/>
    </x:row>
    <x:row r="15" ht="24" customHeight="1">
      <x:c r="A15" s="3"/>
      <x:c r="B15" s="19" t="n">
        <x:f>'Inventario'!D7</x:f>
        <x:v>923.6</x:v>
      </x:c>
      <x:c r="C15" s="3"/>
      <x:c r="D15" s="3"/>
      <x:c r="E15" s="3"/>
      <x:c r="F15" s="3"/>
      <x:c r="G15" s="20" t="n">
        <x:f>'Inventario'!H7</x:f>
        <x:v>3</x:v>
      </x:c>
      <x:c r="H15" s="3"/>
      <x:c r="I15" s="3"/>
      <x:c r="J15" s="3"/>
      <x:c r="K15" s="21" t="n">
        <x:f>'Ventas'!$J$7+'Inventario'!$M$7+'Movimientos'!$K$7</x:f>
        <x:v>0</x:v>
      </x:c>
      <x:c r="L15" s="3"/>
      <x:c r="M15" s="3"/>
      <x:c r="N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24" customHeight="1">
      <x:c r="A18" s="3"/>
      <x:c r="B18" s="5" t="str">
        <x:v>La contribución resta solo el costo variable capturado. No es utilidad neta ni flujo de caja.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 ht="24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 ht="24" customHeight="1">
      <x:c r="A53" s="3"/>
      <x:c r="B53" s="10" t="str">
        <x:v>Capturar ventas</x:v>
      </x:c>
      <x:c r="C53" s="3"/>
      <x:c r="D53" s="3"/>
      <x:c r="E53" s="3"/>
      <x:c r="F53" s="10" t="str">
        <x:v>Registrar movimientos</x:v>
      </x:c>
      <x:c r="G53" s="3"/>
      <x:c r="H53" s="3"/>
      <x:c r="I53" s="3"/>
      <x:c r="J53" s="3"/>
      <x:c r="K53" s="10" t="str">
        <x:v>Ver inventario</x:v>
      </x:c>
      <x:c r="L53" s="3"/>
      <x:c r="M53" s="3"/>
      <x:c r="N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 ht="24" customHeight="1">
      <x:c r="A55" s="3"/>
      <x:c r="B55" s="10" t="str">
        <x:v>Costear platillo</x:v>
      </x:c>
      <x:c r="C55" s="3"/>
      <x:c r="D55" s="3"/>
      <x:c r="E55" s="3"/>
      <x:c r="F55" s="10" t="str">
        <x:v>Costear bebida</x:v>
      </x:c>
      <x:c r="G55" s="3"/>
      <x:c r="H55" s="3"/>
      <x:c r="I55" s="3"/>
      <x:c r="J55" s="3"/>
      <x:c r="K55" s="10" t="str">
        <x:v>Calcular equilibrio</x:v>
      </x:c>
      <x:c r="L55" s="3"/>
      <x:c r="M55" s="3"/>
      <x:c r="N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 ht="24" customHeight="1">
      <x:c r="A57" s="3"/>
      <x:c r="B57" s="10" t="str">
        <x:v>Cómo utilizar la herramienta</x:v>
      </x:c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 ht="24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 ht="24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 ht="24" customHeight="1">
      <x:c r="A60" s="3"/>
      <x:c r="B60" s="5" t="str">
        <x:v>RBI. Capacitación y herramientas con Alonso Méndez.</x:v>
      </x:c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3"/>
    </x:row>
    <x:row r="61" ht="24" customHeight="1">
      <x:c r="A61" s="3"/>
      <x:c r="B61" s="22" t="str">
        <x:v>Visitar RBI</x:v>
      </x:c>
      <x:c r="C61" s="5"/>
      <x:c r="D61" s="5"/>
      <x:c r="E61" s="5"/>
      <x:c r="F61" s="22" t="str">
        <x:v>Orientación por WhatsApp</x:v>
      </x:c>
      <x:c r="G61" s="5"/>
      <x:c r="H61" s="5"/>
      <x:c r="I61" s="5"/>
      <x:c r="J61" s="5"/>
      <x:c r="K61" s="5"/>
      <x:c r="L61" s="5"/>
      <x:c r="M61" s="5"/>
      <x:c r="N61" s="3"/>
    </x:row>
    <x:row r="62" ht="24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 ht="24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 ht="24" customHeight="1">
      <x:c r="A64" s="3"/>
      <x:c r="B64" s="44" t="str">
        <x:v>Datos de los gráficos</x:v>
      </x:c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 ht="24" customHeight="1">
      <x:c r="A65" s="3"/>
      <x:c r="B65" s="5" t="str">
        <x:v>Fecha</x:v>
      </x:c>
      <x:c r="C65" s="5" t="str">
        <x:v>Ventas netas</x:v>
      </x:c>
      <x:c r="D65" s="5" t="str">
        <x:v>Costo variable</x:v>
      </x:c>
      <x:c r="E65" s="5"/>
      <x:c r="F65" s="5" t="str">
        <x:v>Parte de ventas</x:v>
      </x:c>
      <x:c r="G65" s="5" t="str">
        <x:v>Importe</x:v>
      </x:c>
      <x:c r="H65" s="5"/>
      <x:c r="I65" s="5" t="str">
        <x:v>Insumo</x:v>
      </x:c>
      <x:c r="J65" s="5" t="str">
        <x:v>Valor estimado</x:v>
      </x:c>
      <x:c r="K65" s="5"/>
      <x:c r="L65" s="5" t="str">
        <x:v>Estado</x:v>
      </x:c>
      <x:c r="M65" s="5" t="str">
        <x:v>Insumos</x:v>
      </x:c>
      <x:c r="N65" s="3"/>
    </x:row>
    <x:row r="66" ht="24" customHeight="1">
      <x:c r="A66" s="3"/>
      <x:c r="B66" s="5" t="str">
        <x:f>TEXT('Ventas'!$C$7+0,"dd-mmm")</x:f>
        <x:v>01-Oct</x:v>
      </x:c>
      <x:c r="C66" s="54" t="n">
        <x:f>IF(OR('Ventas'!$C$7+0&gt;'Ventas'!$F$7,'Ventas'!$J$7&gt;0,COUNTIFS('Ventas'!$B$14:$B$75,'Ventas'!$C$7+0,'Ventas'!$J$14:$J$75,"OK")=0),"",SUMIFS('Ventas'!$C$14:$C$75,'Ventas'!$B$14:$B$75,'Ventas'!$C$7+0,'Ventas'!$J$14:$J$75,"OK"))</x:f>
        <x:v>4200</x:v>
      </x:c>
      <x:c r="D66" s="54" t="n">
        <x:f>IF(OR('Ventas'!$C$7+0&gt;'Ventas'!$F$7,'Ventas'!$J$7&gt;0,COUNTIFS('Ventas'!$B$14:$B$75,'Ventas'!$C$7+0,'Ventas'!$J$14:$J$75,"OK")=0),"",SUMIFS('Ventas'!$F$14:$F$75,'Ventas'!$B$14:$B$75,'Ventas'!$C$7+0,'Ventas'!$J$14:$J$75,"OK"))</x:f>
        <x:v>1470</x:v>
      </x:c>
      <x:c r="E66" s="5"/>
      <x:c r="F66" s="5" t="str">
        <x:v>Costo variable</x:v>
      </x:c>
      <x:c r="G66" s="54" t="n">
        <x:f>IF(AND(ISNUMBER('Ventas'!$C$9),ISNUMBER('Ventas'!$I$9),'Ventas'!$I$9&gt;=0),'Ventas'!$C$9-'Ventas'!$I$9,"")</x:f>
        <x:v>13195</x:v>
      </x:c>
      <x:c r="H66" s="5"/>
      <x:c r="I66" s="5" t="str">
        <x:f>IF('Inventario'!C14="Agua purificada","Agua",IF('Inventario'!C14="Vaso biodegradable","Vaso bio.",IF('Inventario'!C14="Champiñones","Champiñón",'Inventario'!C14)))</x:f>
        <x:v>Tomate</x:v>
      </x:c>
      <x:c r="J66" s="54" t="n">
        <x:f>IF(ISNUMBER('Inventario'!M14),'Inventario'!M14,"")</x:f>
        <x:v>196</x:v>
      </x:c>
      <x:c r="K66" s="5"/>
      <x:c r="L66" s="5" t="str">
        <x:v>Disponible</x:v>
      </x:c>
      <x:c r="M66" s="5" t="n">
        <x:f>COUNTIFS('Inventario'!$O$14:$O$43,"Disponible")</x:f>
        <x:v>5</x:v>
      </x:c>
      <x:c r="N66" s="3"/>
    </x:row>
    <x:row r="67" ht="24" customHeight="1">
      <x:c r="A67" s="3"/>
      <x:c r="B67" s="5" t="str">
        <x:f>TEXT('Ventas'!$C$7+1,"dd-mmm")</x:f>
        <x:v>02-Oct</x:v>
      </x:c>
      <x:c r="C67" s="54" t="n">
        <x:f>IF(OR('Ventas'!$C$7+1&gt;'Ventas'!$F$7,'Ventas'!$J$7&gt;0,COUNTIFS('Ventas'!$B$14:$B$75,'Ventas'!$C$7+1,'Ventas'!$J$14:$J$75,"OK")=0),"",SUMIFS('Ventas'!$C$14:$C$75,'Ventas'!$B$14:$B$75,'Ventas'!$C$7+1,'Ventas'!$J$14:$J$75,"OK"))</x:f>
        <x:v>4860</x:v>
      </x:c>
      <x:c r="D67" s="54" t="n">
        <x:f>IF(OR('Ventas'!$C$7+1&gt;'Ventas'!$F$7,'Ventas'!$J$7&gt;0,COUNTIFS('Ventas'!$B$14:$B$75,'Ventas'!$C$7+1,'Ventas'!$J$14:$J$75,"OK")=0),"",SUMIFS('Ventas'!$F$14:$F$75,'Ventas'!$B$14:$B$75,'Ventas'!$C$7+1,'Ventas'!$J$14:$J$75,"OK"))</x:f>
        <x:v>1701</x:v>
      </x:c>
      <x:c r="E67" s="5"/>
      <x:c r="F67" s="5" t="str">
        <x:v>Contribución</x:v>
      </x:c>
      <x:c r="G67" s="54" t="n">
        <x:f>IF(AND(ISNUMBER('Ventas'!$I$9),'Ventas'!$I$9&gt;=0),'Ventas'!$I$9,"")</x:f>
        <x:v>24505</x:v>
      </x:c>
      <x:c r="H67" s="5"/>
      <x:c r="I67" s="5" t="str">
        <x:f>IF('Inventario'!C15="Agua purificada","Agua",IF('Inventario'!C15="Vaso biodegradable","Vaso bio.",IF('Inventario'!C15="Champiñones","Champiñón",'Inventario'!C15)))</x:f>
        <x:v>Lechuga</x:v>
      </x:c>
      <x:c r="J67" s="54" t="n">
        <x:f>IF(ISNUMBER('Inventario'!M15),'Inventario'!M15,"")</x:f>
        <x:v>25.6</x:v>
      </x:c>
      <x:c r="K67" s="5"/>
      <x:c r="L67" s="5" t="str">
        <x:v>Reponer</x:v>
      </x:c>
      <x:c r="M67" s="5" t="n">
        <x:f>COUNTIFS('Inventario'!$O$14:$O$43,"Reponer")</x:f>
        <x:v>3</x:v>
      </x:c>
      <x:c r="N67" s="3"/>
    </x:row>
    <x:row r="68" ht="24" customHeight="1">
      <x:c r="A68" s="3"/>
      <x:c r="B68" s="5" t="str">
        <x:f>TEXT('Ventas'!$C$7+2,"dd-mmm")</x:f>
        <x:v>03-Oct</x:v>
      </x:c>
      <x:c r="C68" s="54" t="n">
        <x:f>IF(OR('Ventas'!$C$7+2&gt;'Ventas'!$F$7,'Ventas'!$J$7&gt;0,COUNTIFS('Ventas'!$B$14:$B$75,'Ventas'!$C$7+2,'Ventas'!$J$14:$J$75,"OK")=0),"",SUMIFS('Ventas'!$C$14:$C$75,'Ventas'!$B$14:$B$75,'Ventas'!$C$7+2,'Ventas'!$J$14:$J$75,"OK"))</x:f>
        <x:v>5980</x:v>
      </x:c>
      <x:c r="D68" s="54" t="n">
        <x:f>IF(OR('Ventas'!$C$7+2&gt;'Ventas'!$F$7,'Ventas'!$J$7&gt;0,COUNTIFS('Ventas'!$B$14:$B$75,'Ventas'!$C$7+2,'Ventas'!$J$14:$J$75,"OK")=0),"",SUMIFS('Ventas'!$F$14:$F$75,'Ventas'!$B$14:$B$75,'Ventas'!$C$7+2,'Ventas'!$J$14:$J$75,"OK"))</x:f>
        <x:v>2093</x:v>
      </x:c>
      <x:c r="E68" s="5"/>
      <x:c r="F68" s="5"/>
      <x:c r="G68" s="5"/>
      <x:c r="H68" s="5"/>
      <x:c r="I68" s="5" t="str">
        <x:f>IF('Inventario'!C16="Agua purificada","Agua",IF('Inventario'!C16="Vaso biodegradable","Vaso bio.",IF('Inventario'!C16="Champiñones","Champiñón",'Inventario'!C16)))</x:f>
        <x:v>Champiñón</x:v>
      </x:c>
      <x:c r="J68" s="54" t="n">
        <x:f>IF(ISNUMBER('Inventario'!M16),'Inventario'!M16,"")</x:f>
        <x:v>60</x:v>
      </x:c>
      <x:c r="K68" s="5"/>
      <x:c r="L68" s="5" t="str">
        <x:v>Revisar</x:v>
      </x:c>
      <x:c r="M68" s="5" t="n">
        <x:f>'Inventario'!$M$7</x:f>
        <x:v>0</x:v>
      </x:c>
      <x:c r="N68" s="3"/>
    </x:row>
    <x:row r="69" ht="24" customHeight="1">
      <x:c r="A69" s="3"/>
      <x:c r="B69" s="5" t="str">
        <x:f>TEXT('Ventas'!$C$7+3,"dd-mmm")</x:f>
        <x:v>04-Oct</x:v>
      </x:c>
      <x:c r="C69" s="54" t="n">
        <x:f>IF(OR('Ventas'!$C$7+3&gt;'Ventas'!$F$7,'Ventas'!$J$7&gt;0,COUNTIFS('Ventas'!$B$14:$B$75,'Ventas'!$C$7+3,'Ventas'!$J$14:$J$75,"OK")=0),"",SUMIFS('Ventas'!$C$14:$C$75,'Ventas'!$B$14:$B$75,'Ventas'!$C$7+3,'Ventas'!$J$14:$J$75,"OK"))</x:f>
        <x:v>6600</x:v>
      </x:c>
      <x:c r="D69" s="54" t="n">
        <x:f>IF(OR('Ventas'!$C$7+3&gt;'Ventas'!$F$7,'Ventas'!$J$7&gt;0,COUNTIFS('Ventas'!$B$14:$B$75,'Ventas'!$C$7+3,'Ventas'!$J$14:$J$75,"OK")=0),"",SUMIFS('Ventas'!$F$14:$F$75,'Ventas'!$B$14:$B$75,'Ventas'!$C$7+3,'Ventas'!$J$14:$J$75,"OK"))</x:f>
        <x:v>2310</x:v>
      </x:c>
      <x:c r="E69" s="5"/>
      <x:c r="F69" s="5"/>
      <x:c r="G69" s="5"/>
      <x:c r="H69" s="5"/>
      <x:c r="I69" s="5" t="str">
        <x:f>IF('Inventario'!C17="Agua purificada","Agua",IF('Inventario'!C17="Vaso biodegradable","Vaso bio.",IF('Inventario'!C17="Champiñones","Champiñón",'Inventario'!C17)))</x:f>
        <x:v>Arroz</x:v>
      </x:c>
      <x:c r="J69" s="54" t="n">
        <x:f>IF(ISNUMBER('Inventario'!M17),'Inventario'!M17,"")</x:f>
        <x:v>216</x:v>
      </x:c>
      <x:c r="K69" s="5"/>
      <x:c r="L69" s="5"/>
      <x:c r="M69" s="5"/>
      <x:c r="N69" s="3"/>
    </x:row>
    <x:row r="70" ht="24" customHeight="1">
      <x:c r="A70" s="3"/>
      <x:c r="B70" s="5" t="str">
        <x:f>TEXT('Ventas'!$C$7+4,"dd-mmm")</x:f>
        <x:v>05-Oct</x:v>
      </x:c>
      <x:c r="C70" s="54" t="n">
        <x:f>IF(OR('Ventas'!$C$7+4&gt;'Ventas'!$F$7,'Ventas'!$J$7&gt;0,COUNTIFS('Ventas'!$B$14:$B$75,'Ventas'!$C$7+4,'Ventas'!$J$14:$J$75,"OK")=0),"",SUMIFS('Ventas'!$C$14:$C$75,'Ventas'!$B$14:$B$75,'Ventas'!$C$7+4,'Ventas'!$J$14:$J$75,"OK"))</x:f>
        <x:v>4620</x:v>
      </x:c>
      <x:c r="D70" s="54" t="n">
        <x:f>IF(OR('Ventas'!$C$7+4&gt;'Ventas'!$F$7,'Ventas'!$J$7&gt;0,COUNTIFS('Ventas'!$B$14:$B$75,'Ventas'!$C$7+4,'Ventas'!$J$14:$J$75,"OK")=0),"",SUMIFS('Ventas'!$F$14:$F$75,'Ventas'!$B$14:$B$75,'Ventas'!$C$7+4,'Ventas'!$J$14:$J$75,"OK"))</x:f>
        <x:v>1617</x:v>
      </x:c>
      <x:c r="E70" s="5"/>
      <x:c r="F70" s="5"/>
      <x:c r="G70" s="5"/>
      <x:c r="H70" s="5"/>
      <x:c r="I70" s="5" t="str">
        <x:f>IF('Inventario'!C18="Agua purificada","Agua",IF('Inventario'!C18="Vaso biodegradable","Vaso bio.",IF('Inventario'!C18="Champiñones","Champiñón",'Inventario'!C18)))</x:f>
        <x:v>Azúcar</x:v>
      </x:c>
      <x:c r="J70" s="54" t="n">
        <x:f>IF(ISNUMBER('Inventario'!M18),'Inventario'!M18,"")</x:f>
        <x:v>150</x:v>
      </x:c>
      <x:c r="K70" s="5"/>
      <x:c r="L70" s="5"/>
      <x:c r="M70" s="5"/>
      <x:c r="N70" s="3"/>
    </x:row>
    <x:row r="71" ht="24" customHeight="1">
      <x:c r="A71" s="3"/>
      <x:c r="B71" s="5" t="str">
        <x:f>TEXT('Ventas'!$C$7+5,"dd-mmm")</x:f>
        <x:v>06-Oct</x:v>
      </x:c>
      <x:c r="C71" s="54" t="n">
        <x:f>IF(OR('Ventas'!$C$7+5&gt;'Ventas'!$F$7,'Ventas'!$J$7&gt;0,COUNTIFS('Ventas'!$B$14:$B$75,'Ventas'!$C$7+5,'Ventas'!$J$14:$J$75,"OK")=0),"",SUMIFS('Ventas'!$C$14:$C$75,'Ventas'!$B$14:$B$75,'Ventas'!$C$7+5,'Ventas'!$J$14:$J$75,"OK"))</x:f>
        <x:v>5340</x:v>
      </x:c>
      <x:c r="D71" s="54" t="n">
        <x:f>IF(OR('Ventas'!$C$7+5&gt;'Ventas'!$F$7,'Ventas'!$J$7&gt;0,COUNTIFS('Ventas'!$B$14:$B$75,'Ventas'!$C$7+5,'Ventas'!$J$14:$J$75,"OK")=0),"",SUMIFS('Ventas'!$F$14:$F$75,'Ventas'!$B$14:$B$75,'Ventas'!$C$7+5,'Ventas'!$J$14:$J$75,"OK"))</x:f>
        <x:v>1869</x:v>
      </x:c>
      <x:c r="E71" s="5"/>
      <x:c r="F71" s="5"/>
      <x:c r="G71" s="5"/>
      <x:c r="H71" s="5"/>
      <x:c r="I71" s="5" t="str">
        <x:f>IF('Inventario'!C19="Agua purificada","Agua",IF('Inventario'!C19="Vaso biodegradable","Vaso bio.",IF('Inventario'!C19="Champiñones","Champiñón",'Inventario'!C19)))</x:f>
        <x:v>Agua</x:v>
      </x:c>
      <x:c r="J71" s="54" t="n">
        <x:f>IF(ISNUMBER('Inventario'!M19),'Inventario'!M19,"")</x:f>
        <x:v>24</x:v>
      </x:c>
      <x:c r="K71" s="5"/>
      <x:c r="L71" s="5"/>
      <x:c r="M71" s="5"/>
      <x:c r="N71" s="3"/>
    </x:row>
    <x:row r="72" ht="24" customHeight="1">
      <x:c r="A72" s="3"/>
      <x:c r="B72" s="5" t="str">
        <x:f>TEXT('Ventas'!$C$7+6,"dd-mmm")</x:f>
        <x:v>07-Oct</x:v>
      </x:c>
      <x:c r="C72" s="54" t="n">
        <x:f>IF(OR('Ventas'!$C$7+6&gt;'Ventas'!$F$7,'Ventas'!$J$7&gt;0,COUNTIFS('Ventas'!$B$14:$B$75,'Ventas'!$C$7+6,'Ventas'!$J$14:$J$75,"OK")=0),"",SUMIFS('Ventas'!$C$14:$C$75,'Ventas'!$B$14:$B$75,'Ventas'!$C$7+6,'Ventas'!$J$14:$J$75,"OK"))</x:f>
        <x:v>6100</x:v>
      </x:c>
      <x:c r="D72" s="54" t="n">
        <x:f>IF(OR('Ventas'!$C$7+6&gt;'Ventas'!$F$7,'Ventas'!$J$7&gt;0,COUNTIFS('Ventas'!$B$14:$B$75,'Ventas'!$C$7+6,'Ventas'!$J$14:$J$75,"OK")=0),"",SUMIFS('Ventas'!$F$14:$F$75,'Ventas'!$B$14:$B$75,'Ventas'!$C$7+6,'Ventas'!$J$14:$J$75,"OK"))</x:f>
        <x:v>2135</x:v>
      </x:c>
      <x:c r="E72" s="5"/>
      <x:c r="F72" s="5"/>
      <x:c r="G72" s="5"/>
      <x:c r="H72" s="5"/>
      <x:c r="I72" s="5" t="str">
        <x:f>IF('Inventario'!C20="Agua purificada","Agua",IF('Inventario'!C20="Vaso biodegradable","Vaso bio.",IF('Inventario'!C20="Champiñones","Champiñón",'Inventario'!C20)))</x:f>
        <x:v>Limón</x:v>
      </x:c>
      <x:c r="J72" s="54" t="n">
        <x:f>IF(ISNUMBER('Inventario'!M20),'Inventario'!M20,"")</x:f>
        <x:v>210</x:v>
      </x:c>
      <x:c r="K72" s="5"/>
      <x:c r="L72" s="5"/>
      <x:c r="M72" s="5"/>
      <x:c r="N72" s="3"/>
    </x:row>
    <x:row r="73" ht="24" customHeight="1">
      <x:c r="A73" s="3"/>
      <x:c r="B73" s="5"/>
      <x:c r="C73" s="5"/>
      <x:c r="D73" s="5"/>
      <x:c r="E73" s="5"/>
      <x:c r="F73" s="5"/>
      <x:c r="G73" s="5"/>
      <x:c r="H73" s="5"/>
      <x:c r="I73" s="5" t="str">
        <x:f>IF('Inventario'!C21="Agua purificada","Agua",IF('Inventario'!C21="Vaso biodegradable","Vaso bio.",IF('Inventario'!C21="Champiñones","Champiñón",'Inventario'!C21)))</x:f>
        <x:v>Vaso bio.</x:v>
      </x:c>
      <x:c r="J73" s="54" t="n">
        <x:f>IF(ISNUMBER('Inventario'!M21),'Inventario'!M21,"")</x:f>
        <x:v>42</x:v>
      </x:c>
      <x:c r="K73" s="5"/>
      <x:c r="L73" s="5"/>
      <x:c r="M73" s="5"/>
      <x:c r="N73" s="3"/>
    </x:row>
    <x:row r="74" ht="24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 ht="24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 ht="24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 ht="24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 ht="24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 ht="24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 ht="24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 ht="24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 ht="24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 ht="24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 ht="24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 ht="24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 ht="24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 ht="24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 ht="24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 ht="24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 ht="24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 ht="24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 ht="24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 ht="24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 ht="24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 ht="24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 ht="24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 ht="24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</x:sheetData>
  <x:mergeCells>
    <x:mergeCell ref="B6:M6"/>
    <x:mergeCell ref="B10:E10"/>
    <x:mergeCell ref="B11:E12"/>
    <x:mergeCell ref="G10:I10"/>
    <x:mergeCell ref="G11:I12"/>
    <x:mergeCell ref="K10:M10"/>
    <x:mergeCell ref="K11:M12"/>
    <x:mergeCell ref="B14:E14"/>
    <x:mergeCell ref="B15:E16"/>
    <x:mergeCell ref="G14:I14"/>
    <x:mergeCell ref="G15:I16"/>
    <x:mergeCell ref="K14:M14"/>
    <x:mergeCell ref="K15:M16"/>
    <x:mergeCell ref="B18:M18"/>
    <x:mergeCell ref="B60:M60"/>
  </x:mergeCells>
  <x:conditionalFormatting sqref="K15:K15">
    <x:cfRule type="cellIs" dxfId="0" priority="1" operator="greaterThan">
      <x:formula>0</x:formula>
    </x:cfRule>
  </x:conditionalFormatting>
  <x:hyperlinks>
    <x:hyperlink ref="J8" location="'Ventas'!A1" display="Cambiar periodo"/>
    <x:hyperlink ref="B53" location="'Ventas'!A1" display="Capturar ventas"/>
    <x:hyperlink ref="F53" location="'Movimientos'!A1" display="Registrar movimientos"/>
    <x:hyperlink ref="K53" location="'Inventario'!A1" display="Ver inventario"/>
    <x:hyperlink ref="B55" location="'Platillo'!A1" display="Costear platillo"/>
    <x:hyperlink ref="F55" location="'Bebida'!A1" display="Costear bebida"/>
    <x:hyperlink ref="K55" location="'Equilibrio'!A1" display="Calcular equilibrio"/>
    <x:hyperlink ref="B57" location="'Ayuda'!A1" display="Cómo utilizar la herramienta"/>
    <x:hyperlink ref="B61" r:id="rIdRBIlink1"/>
    <x:hyperlink ref="F61" r:id="rIdRBIlink2"/>
  </x:hyperlinks>
  <x:pageMargins left="0.7" right="0.7" top="0.75" bottom="0.75" header="0.3" footer="0.3"/>
  <x:drawing xmlns:r="http://schemas.openxmlformats.org/officeDocument/2006/relationships" r:id="R0660d83ac854491c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B58A36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3" hidden="0" customWidth="1"/>
    <x:col min="2" max="2" width="17" hidden="0" customWidth="1"/>
    <x:col min="3" max="3" width="20" hidden="0" customWidth="1"/>
    <x:col min="4" max="4" width="14" hidden="0" customWidth="1"/>
    <x:col min="5" max="5" width="16" hidden="0" customWidth="1"/>
    <x:col min="6" max="6" width="21" hidden="0" customWidth="1"/>
    <x:col min="7" max="7" width="20" hidden="0" customWidth="1"/>
    <x:col min="8" max="8" width="20" hidden="0" customWidth="1"/>
    <x:col min="9" max="9" width="22" hidden="0" customWidth="1"/>
    <x:col min="10" max="10" width="31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4" t="str">
        <x:v>Ventas y ticket promedio</x:v>
      </x:c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3"/>
      <x:c r="B3" s="5" t="str">
        <x:v>Un cierre por fecha. Importes netos sin IVA ni propinas, después de descuentos.</x:v>
      </x:c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  <x:c r="J5" s="6"/>
    </x:row>
    <x:row r="6" ht="24" customHeight="1">
      <x:c r="A6" s="3"/>
      <x:c r="B6" s="3" t="str">
        <x:v>Selecciona el periodo</x:v>
      </x:c>
      <x:c r="C6" s="3"/>
      <x:c r="D6" s="3"/>
      <x:c r="E6" s="3"/>
      <x:c r="F6" s="3"/>
      <x:c r="G6" s="3"/>
      <x:c r="H6" s="3"/>
      <x:c r="I6" s="3" t="str">
        <x:v>Registros por revisar</x:v>
      </x:c>
      <x:c r="J6" s="3"/>
    </x:row>
    <x:row r="7" ht="24" customHeight="1">
      <x:c r="A7" s="3"/>
      <x:c r="B7" s="3" t="str">
        <x:v>Desde</x:v>
      </x:c>
      <x:c r="C7" s="25" t="n">
        <x:v>46296</x:v>
      </x:c>
      <x:c r="D7" s="3"/>
      <x:c r="E7" s="3" t="str">
        <x:v>Hasta</x:v>
      </x:c>
      <x:c r="F7" s="25" t="n">
        <x:v>46326</x:v>
      </x:c>
      <x:c r="G7" s="3"/>
      <x:c r="H7" s="3"/>
      <x:c r="I7" s="3"/>
      <x:c r="J7" s="3" t="n">
        <x:f>COUNTIFS(J14:J75,"Revisar: falta fecha")+COUNTIFS(J14:J75,"Revisar: fecha duplicada")+COUNTIFS(J14:J75,"Revisar: falta dato")+COUNTIFS(J14:J75,"Revisar: cuentas o personas")</x:f>
        <x:v>0</x:v>
      </x:c>
    </x:row>
    <x:row r="8" ht="24" customHeight="1">
      <x:c r="A8" s="3"/>
      <x:c r="B8" s="3" t="str">
        <x:v>Ventas netas del periodo</x:v>
      </x:c>
      <x:c r="C8" s="3"/>
      <x:c r="D8" s="3"/>
      <x:c r="E8" s="3" t="str">
        <x:v>Ticket promedio ponderado</x:v>
      </x:c>
      <x:c r="F8" s="3"/>
      <x:c r="G8" s="3"/>
      <x:c r="H8" s="3" t="str">
        <x:v>Contribución del periodo</x:v>
      </x:c>
      <x:c r="I8" s="3"/>
      <x:c r="J8" s="3"/>
    </x:row>
    <x:row r="9" ht="24" customHeight="1">
      <x:c r="A9" s="3"/>
      <x:c r="B9" s="3"/>
      <x:c r="C9" s="26" t="n">
        <x:f>IF(OR(NOT(ISNUMBER(C7)),NOT(ISNUMBER(F7)),F7&lt;C7,(COUNTIFS(J14:J75,"Revisar: falta fecha")+COUNTIFS(J14:J75,"Revisar: fecha duplicada")+COUNTIFS(J14:J75,"Revisar: falta dato")+COUNTIFS(J14:J75,"Revisar: cuentas o personas"))&gt;0),"Revisar datos",IF(COUNTIFS(B14:B75,"&gt;="&amp;C7,B14:B75,"&lt;="&amp;F7,J14:J75,"OK")=0,"Sin cierres",SUMIFS(C14:C75,B14:B75,"&gt;="&amp;C7,B14:B75,"&lt;="&amp;F7,J14:J75,"OK")))</x:f>
        <x:v>37700</x:v>
      </x:c>
      <x:c r="D9" s="3"/>
      <x:c r="E9" s="3"/>
      <x:c r="F9" s="26" t="n">
        <x:f>IF(OR(NOT(ISNUMBER(C7)),NOT(ISNUMBER(F7)),F7&lt;C7,(COUNTIFS(J14:J75,"Revisar: falta fecha")+COUNTIFS(J14:J75,"Revisar: fecha duplicada")+COUNTIFS(J14:J75,"Revisar: falta dato")+COUNTIFS(J14:J75,"Revisar: cuentas o personas"))&gt;0),"Revisar datos",IF(SUMIFS(D14:D75,B14:B75,"&gt;="&amp;C7,B14:B75,"&lt;="&amp;F7,J14:J75,"OK")=0,"Sin tickets",C9/SUMIFS(D14:D75,B14:B75,"&gt;="&amp;C7,B14:B75,"&lt;="&amp;F7,J14:J75,"OK")))</x:f>
        <x:v>147.84313725490196</x:v>
      </x:c>
      <x:c r="G9" s="3"/>
      <x:c r="H9" s="3"/>
      <x:c r="I9" s="26" t="n">
        <x:f>IF(OR(NOT(ISNUMBER(C7)),NOT(ISNUMBER(F7)),F7&lt;C7,(COUNTIFS(J14:J75,"Revisar: falta fecha")+COUNTIFS(J14:J75,"Revisar: fecha duplicada")+COUNTIFS(J14:J75,"Revisar: falta dato")+COUNTIFS(J14:J75,"Revisar: cuentas o personas"))&gt;0),"Revisar datos",IF(COUNTIFS(B14:B75,"&gt;="&amp;C7,B14:B75,"&lt;="&amp;F7,J14:J75,"OK")=0,"Sin cierres",SUMIFS(I14:I75,B14:B75,"&gt;="&amp;C7,B14:B75,"&lt;="&amp;F7,J14:J75,"OK")))</x:f>
        <x:v>24505</x:v>
      </x:c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5" t="str">
        <x:v>Amarillo: captura. Calculados: ticket, contribución y revisión. Los cierres son ejemplos editables.</x:v>
      </x:c>
      <x:c r="C11" s="3"/>
      <x:c r="D11" s="3"/>
      <x:c r="E11" s="3"/>
      <x:c r="F11" s="3"/>
      <x:c r="G11" s="3"/>
      <x:c r="H11" s="3"/>
      <x:c r="I11" s="3"/>
      <x:c r="J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44" customHeight="1">
      <x:c r="A13" s="3"/>
      <x:c r="B13" s="35" t="str">
        <x:v>Fecha del cierre</x:v>
      </x:c>
      <x:c r="C13" s="36" t="str">
        <x:v>Ventas netas</x:v>
      </x:c>
      <x:c r="D13" s="36" t="str">
        <x:v>Tickets / cuentas</x:v>
      </x:c>
      <x:c r="E13" s="36" t="str">
        <x:v>Comensales</x:v>
      </x:c>
      <x:c r="F13" s="36" t="str">
        <x:v>Costo variable</x:v>
      </x:c>
      <x:c r="G13" s="36" t="str">
        <x:v>Ticket promedio</x:v>
      </x:c>
      <x:c r="H13" s="36" t="str">
        <x:v>Venta por comensal</x:v>
      </x:c>
      <x:c r="I13" s="36" t="str">
        <x:v>Contribución</x:v>
      </x:c>
      <x:c r="J13" s="37" t="str">
        <x:v>Revisión del cierre</x:v>
      </x:c>
    </x:row>
    <x:row r="14" ht="24" customHeight="1">
      <x:c r="A14" s="3"/>
      <x:c r="B14" s="25" t="n">
        <x:v>46296</x:v>
      </x:c>
      <x:c r="C14" s="38" t="n">
        <x:v>4200</x:v>
      </x:c>
      <x:c r="D14" s="39" t="n">
        <x:v>30</x:v>
      </x:c>
      <x:c r="E14" s="39" t="n">
        <x:v>43</x:v>
      </x:c>
      <x:c r="F14" s="38" t="n">
        <x:v>1470</x:v>
      </x:c>
      <x:c r="G14" s="16" t="n">
        <x:f>IF(COUNTA(B14:F14)=0,"",IF(J14&lt;&gt;"OK","Revisar datos",IF(D14=0,"Sin tickets",C14/D14)))</x:f>
        <x:v>140</x:v>
      </x:c>
      <x:c r="H14" s="16" t="n">
        <x:f>IF(COUNTA(B14:F14)=0,"",IF(J14&lt;&gt;"OK","Revisar datos",IF(E14=0,"Sin comensales",C14/E14)))</x:f>
        <x:v>97.67441860465117</x:v>
      </x:c>
      <x:c r="I14" s="16" t="n">
        <x:f>IF(COUNTA(B14:F14)=0,"",IF(J14&lt;&gt;"OK","Revisar datos",C14-F14))</x:f>
        <x:v>2730</x:v>
      </x:c>
      <x:c r="J14" s="40" t="str">
        <x:f>IF(COUNTA(B14:F14)=0,"",IF(NOT(AND(ISNUMBER(B14),B14&gt;0,B14=INT(B14))),"Revisar: falta fecha",IF(COUNTIFS($B$14:$B$75,B14)&gt;1,"Revisar: fecha duplicada",IF(NOT(AND(ISNUMBER(C14),C14&gt;=0,ISNUMBER(D14),D14&gt;=0,D14=INT(D14),ISNUMBER(E14),E14&gt;=0,E14=INT(E14),ISNUMBER(F14),F14&gt;=0)),"Revisar: falta dato",IF(AND(C14&gt;0,OR(D14=0,E14=0)),"Revisar: cuentas o personas","OK")))))</x:f>
        <x:v>OK</x:v>
      </x:c>
    </x:row>
    <x:row r="15" ht="24" customHeight="1">
      <x:c r="A15" s="3"/>
      <x:c r="B15" s="25" t="n">
        <x:v>46297</x:v>
      </x:c>
      <x:c r="C15" s="38" t="n">
        <x:v>4860</x:v>
      </x:c>
      <x:c r="D15" s="39" t="n">
        <x:v>32</x:v>
      </x:c>
      <x:c r="E15" s="39" t="n">
        <x:v>48</x:v>
      </x:c>
      <x:c r="F15" s="38" t="n">
        <x:v>1701</x:v>
      </x:c>
      <x:c r="G15" s="16" t="n">
        <x:f>IF(COUNTA(B15:F15)=0,"",IF(J15&lt;&gt;"OK","Revisar datos",IF(D15=0,"Sin tickets",C15/D15)))</x:f>
        <x:v>151.875</x:v>
      </x:c>
      <x:c r="H15" s="16" t="n">
        <x:f>IF(COUNTA(B15:F15)=0,"",IF(J15&lt;&gt;"OK","Revisar datos",IF(E15=0,"Sin comensales",C15/E15)))</x:f>
        <x:v>101.25</x:v>
      </x:c>
      <x:c r="I15" s="16" t="n">
        <x:f>IF(COUNTA(B15:F15)=0,"",IF(J15&lt;&gt;"OK","Revisar datos",C15-F15))</x:f>
        <x:v>3159</x:v>
      </x:c>
      <x:c r="J15" s="40" t="str">
        <x:f>IF(COUNTA(B15:F15)=0,"",IF(NOT(AND(ISNUMBER(B15),B15&gt;0,B15=INT(B15))),"Revisar: falta fecha",IF(COUNTIFS($B$14:$B$75,B15)&gt;1,"Revisar: fecha duplicada",IF(NOT(AND(ISNUMBER(C15),C15&gt;=0,ISNUMBER(D15),D15&gt;=0,D15=INT(D15),ISNUMBER(E15),E15&gt;=0,E15=INT(E15),ISNUMBER(F15),F15&gt;=0)),"Revisar: falta dato",IF(AND(C15&gt;0,OR(D15=0,E15=0)),"Revisar: cuentas o personas","OK")))))</x:f>
        <x:v>OK</x:v>
      </x:c>
    </x:row>
    <x:row r="16" ht="24" customHeight="1">
      <x:c r="A16" s="3"/>
      <x:c r="B16" s="25" t="n">
        <x:v>46298</x:v>
      </x:c>
      <x:c r="C16" s="38" t="n">
        <x:v>5980</x:v>
      </x:c>
      <x:c r="D16" s="39" t="n">
        <x:v>40</x:v>
      </x:c>
      <x:c r="E16" s="39" t="n">
        <x:v>57</x:v>
      </x:c>
      <x:c r="F16" s="38" t="n">
        <x:v>2093</x:v>
      </x:c>
      <x:c r="G16" s="16" t="n">
        <x:f>IF(COUNTA(B16:F16)=0,"",IF(J16&lt;&gt;"OK","Revisar datos",IF(D16=0,"Sin tickets",C16/D16)))</x:f>
        <x:v>149.5</x:v>
      </x:c>
      <x:c r="H16" s="16" t="n">
        <x:f>IF(COUNTA(B16:F16)=0,"",IF(J16&lt;&gt;"OK","Revisar datos",IF(E16=0,"Sin comensales",C16/E16)))</x:f>
        <x:v>104.91228070175438</x:v>
      </x:c>
      <x:c r="I16" s="16" t="n">
        <x:f>IF(COUNTA(B16:F16)=0,"",IF(J16&lt;&gt;"OK","Revisar datos",C16-F16))</x:f>
        <x:v>3887</x:v>
      </x:c>
      <x:c r="J16" s="40" t="str">
        <x:f>IF(COUNTA(B16:F16)=0,"",IF(NOT(AND(ISNUMBER(B16),B16&gt;0,B16=INT(B16))),"Revisar: falta fecha",IF(COUNTIFS($B$14:$B$75,B16)&gt;1,"Revisar: fecha duplicada",IF(NOT(AND(ISNUMBER(C16),C16&gt;=0,ISNUMBER(D16),D16&gt;=0,D16=INT(D16),ISNUMBER(E16),E16&gt;=0,E16=INT(E16),ISNUMBER(F16),F16&gt;=0)),"Revisar: falta dato",IF(AND(C16&gt;0,OR(D16=0,E16=0)),"Revisar: cuentas o personas","OK")))))</x:f>
        <x:v>OK</x:v>
      </x:c>
    </x:row>
    <x:row r="17" ht="24" customHeight="1">
      <x:c r="A17" s="3"/>
      <x:c r="B17" s="25" t="n">
        <x:v>46299</x:v>
      </x:c>
      <x:c r="C17" s="38" t="n">
        <x:v>6600</x:v>
      </x:c>
      <x:c r="D17" s="39" t="n">
        <x:v>44</x:v>
      </x:c>
      <x:c r="E17" s="39" t="n">
        <x:v>65</x:v>
      </x:c>
      <x:c r="F17" s="38" t="n">
        <x:v>2310</x:v>
      </x:c>
      <x:c r="G17" s="16" t="n">
        <x:f>IF(COUNTA(B17:F17)=0,"",IF(J17&lt;&gt;"OK","Revisar datos",IF(D17=0,"Sin tickets",C17/D17)))</x:f>
        <x:v>150</x:v>
      </x:c>
      <x:c r="H17" s="16" t="n">
        <x:f>IF(COUNTA(B17:F17)=0,"",IF(J17&lt;&gt;"OK","Revisar datos",IF(E17=0,"Sin comensales",C17/E17)))</x:f>
        <x:v>101.53846153846153</x:v>
      </x:c>
      <x:c r="I17" s="16" t="n">
        <x:f>IF(COUNTA(B17:F17)=0,"",IF(J17&lt;&gt;"OK","Revisar datos",C17-F17))</x:f>
        <x:v>4290</x:v>
      </x:c>
      <x:c r="J17" s="40" t="str">
        <x:f>IF(COUNTA(B17:F17)=0,"",IF(NOT(AND(ISNUMBER(B17),B17&gt;0,B17=INT(B17))),"Revisar: falta fecha",IF(COUNTIFS($B$14:$B$75,B17)&gt;1,"Revisar: fecha duplicada",IF(NOT(AND(ISNUMBER(C17),C17&gt;=0,ISNUMBER(D17),D17&gt;=0,D17=INT(D17),ISNUMBER(E17),E17&gt;=0,E17=INT(E17),ISNUMBER(F17),F17&gt;=0)),"Revisar: falta dato",IF(AND(C17&gt;0,OR(D17=0,E17=0)),"Revisar: cuentas o personas","OK")))))</x:f>
        <x:v>OK</x:v>
      </x:c>
    </x:row>
    <x:row r="18" ht="24" customHeight="1">
      <x:c r="A18" s="3"/>
      <x:c r="B18" s="25" t="n">
        <x:v>46300</x:v>
      </x:c>
      <x:c r="C18" s="38" t="n">
        <x:v>4620</x:v>
      </x:c>
      <x:c r="D18" s="39" t="n">
        <x:v>33</x:v>
      </x:c>
      <x:c r="E18" s="39" t="n">
        <x:v>46</x:v>
      </x:c>
      <x:c r="F18" s="38" t="n">
        <x:v>1617</x:v>
      </x:c>
      <x:c r="G18" s="16" t="n">
        <x:f>IF(COUNTA(B18:F18)=0,"",IF(J18&lt;&gt;"OK","Revisar datos",IF(D18=0,"Sin tickets",C18/D18)))</x:f>
        <x:v>140</x:v>
      </x:c>
      <x:c r="H18" s="16" t="n">
        <x:f>IF(COUNTA(B18:F18)=0,"",IF(J18&lt;&gt;"OK","Revisar datos",IF(E18=0,"Sin comensales",C18/E18)))</x:f>
        <x:v>100.43478260869566</x:v>
      </x:c>
      <x:c r="I18" s="16" t="n">
        <x:f>IF(COUNTA(B18:F18)=0,"",IF(J18&lt;&gt;"OK","Revisar datos",C18-F18))</x:f>
        <x:v>3003</x:v>
      </x:c>
      <x:c r="J18" s="40" t="str">
        <x:f>IF(COUNTA(B18:F18)=0,"",IF(NOT(AND(ISNUMBER(B18),B18&gt;0,B18=INT(B18))),"Revisar: falta fecha",IF(COUNTIFS($B$14:$B$75,B18)&gt;1,"Revisar: fecha duplicada",IF(NOT(AND(ISNUMBER(C18),C18&gt;=0,ISNUMBER(D18),D18&gt;=0,D18=INT(D18),ISNUMBER(E18),E18&gt;=0,E18=INT(E18),ISNUMBER(F18),F18&gt;=0)),"Revisar: falta dato",IF(AND(C18&gt;0,OR(D18=0,E18=0)),"Revisar: cuentas o personas","OK")))))</x:f>
        <x:v>OK</x:v>
      </x:c>
    </x:row>
    <x:row r="19" ht="24" customHeight="1">
      <x:c r="A19" s="3"/>
      <x:c r="B19" s="25" t="n">
        <x:v>46301</x:v>
      </x:c>
      <x:c r="C19" s="38" t="n">
        <x:v>5340</x:v>
      </x:c>
      <x:c r="D19" s="39" t="n">
        <x:v>36</x:v>
      </x:c>
      <x:c r="E19" s="39" t="n">
        <x:v>52</x:v>
      </x:c>
      <x:c r="F19" s="38" t="n">
        <x:v>1869</x:v>
      </x:c>
      <x:c r="G19" s="16" t="n">
        <x:f>IF(COUNTA(B19:F19)=0,"",IF(J19&lt;&gt;"OK","Revisar datos",IF(D19=0,"Sin tickets",C19/D19)))</x:f>
        <x:v>148.33333333333334</x:v>
      </x:c>
      <x:c r="H19" s="16" t="n">
        <x:f>IF(COUNTA(B19:F19)=0,"",IF(J19&lt;&gt;"OK","Revisar datos",IF(E19=0,"Sin comensales",C19/E19)))</x:f>
        <x:v>102.6923076923077</x:v>
      </x:c>
      <x:c r="I19" s="16" t="n">
        <x:f>IF(COUNTA(B19:F19)=0,"",IF(J19&lt;&gt;"OK","Revisar datos",C19-F19))</x:f>
        <x:v>3471</x:v>
      </x:c>
      <x:c r="J19" s="40" t="str">
        <x:f>IF(COUNTA(B19:F19)=0,"",IF(NOT(AND(ISNUMBER(B19),B19&gt;0,B19=INT(B19))),"Revisar: falta fecha",IF(COUNTIFS($B$14:$B$75,B19)&gt;1,"Revisar: fecha duplicada",IF(NOT(AND(ISNUMBER(C19),C19&gt;=0,ISNUMBER(D19),D19&gt;=0,D19=INT(D19),ISNUMBER(E19),E19&gt;=0,E19=INT(E19),ISNUMBER(F19),F19&gt;=0)),"Revisar: falta dato",IF(AND(C19&gt;0,OR(D19=0,E19=0)),"Revisar: cuentas o personas","OK")))))</x:f>
        <x:v>OK</x:v>
      </x:c>
    </x:row>
    <x:row r="20" ht="24" customHeight="1">
      <x:c r="A20" s="3"/>
      <x:c r="B20" s="25" t="n">
        <x:v>46302</x:v>
      </x:c>
      <x:c r="C20" s="38" t="n">
        <x:v>6100</x:v>
      </x:c>
      <x:c r="D20" s="39" t="n">
        <x:v>40</x:v>
      </x:c>
      <x:c r="E20" s="39" t="n">
        <x:v>60</x:v>
      </x:c>
      <x:c r="F20" s="38" t="n">
        <x:v>2135</x:v>
      </x:c>
      <x:c r="G20" s="16" t="n">
        <x:f>IF(COUNTA(B20:F20)=0,"",IF(J20&lt;&gt;"OK","Revisar datos",IF(D20=0,"Sin tickets",C20/D20)))</x:f>
        <x:v>152.5</x:v>
      </x:c>
      <x:c r="H20" s="16" t="n">
        <x:f>IF(COUNTA(B20:F20)=0,"",IF(J20&lt;&gt;"OK","Revisar datos",IF(E20=0,"Sin comensales",C20/E20)))</x:f>
        <x:v>101.66666666666667</x:v>
      </x:c>
      <x:c r="I20" s="16" t="n">
        <x:f>IF(COUNTA(B20:F20)=0,"",IF(J20&lt;&gt;"OK","Revisar datos",C20-F20))</x:f>
        <x:v>3965</x:v>
      </x:c>
      <x:c r="J20" s="40" t="str">
        <x:f>IF(COUNTA(B20:F20)=0,"",IF(NOT(AND(ISNUMBER(B20),B20&gt;0,B20=INT(B20))),"Revisar: falta fecha",IF(COUNTIFS($B$14:$B$75,B20)&gt;1,"Revisar: fecha duplicada",IF(NOT(AND(ISNUMBER(C20),C20&gt;=0,ISNUMBER(D20),D20&gt;=0,D20=INT(D20),ISNUMBER(E20),E20&gt;=0,E20=INT(E20),ISNUMBER(F20),F20&gt;=0)),"Revisar: falta dato",IF(AND(C20&gt;0,OR(D20=0,E20=0)),"Revisar: cuentas o personas","OK")))))</x:f>
        <x:v>OK</x:v>
      </x:c>
    </x:row>
    <x:row r="21" ht="24" customHeight="1">
      <x:c r="A21" s="3"/>
      <x:c r="B21" s="25"/>
      <x:c r="C21" s="38"/>
      <x:c r="D21" s="39"/>
      <x:c r="E21" s="39"/>
      <x:c r="F21" s="38"/>
      <x:c r="G21" s="16" t="str">
        <x:f>IF(COUNTA(B21:F21)=0,"",IF(J21&lt;&gt;"OK","Revisar datos",IF(D21=0,"Sin tickets",C21/D21)))</x:f>
      </x:c>
      <x:c r="H21" s="16" t="str">
        <x:f>IF(COUNTA(B21:F21)=0,"",IF(J21&lt;&gt;"OK","Revisar datos",IF(E21=0,"Sin comensales",C21/E21)))</x:f>
      </x:c>
      <x:c r="I21" s="16" t="str">
        <x:f>IF(COUNTA(B21:F21)=0,"",IF(J21&lt;&gt;"OK","Revisar datos",C21-F21))</x:f>
      </x:c>
      <x:c r="J21" s="40" t="str">
        <x:f>IF(COUNTA(B21:F21)=0,"",IF(NOT(AND(ISNUMBER(B21),B21&gt;0,B21=INT(B21))),"Revisar: falta fecha",IF(COUNTIFS($B$14:$B$75,B21)&gt;1,"Revisar: fecha duplicada",IF(NOT(AND(ISNUMBER(C21),C21&gt;=0,ISNUMBER(D21),D21&gt;=0,D21=INT(D21),ISNUMBER(E21),E21&gt;=0,E21=INT(E21),ISNUMBER(F21),F21&gt;=0)),"Revisar: falta dato",IF(AND(C21&gt;0,OR(D21=0,E21=0)),"Revisar: cuentas o personas","OK")))))</x:f>
      </x:c>
    </x:row>
    <x:row r="22" ht="24" customHeight="1">
      <x:c r="A22" s="3"/>
      <x:c r="B22" s="25"/>
      <x:c r="C22" s="38"/>
      <x:c r="D22" s="39"/>
      <x:c r="E22" s="39"/>
      <x:c r="F22" s="38"/>
      <x:c r="G22" s="16" t="str">
        <x:f>IF(COUNTA(B22:F22)=0,"",IF(J22&lt;&gt;"OK","Revisar datos",IF(D22=0,"Sin tickets",C22/D22)))</x:f>
      </x:c>
      <x:c r="H22" s="16" t="str">
        <x:f>IF(COUNTA(B22:F22)=0,"",IF(J22&lt;&gt;"OK","Revisar datos",IF(E22=0,"Sin comensales",C22/E22)))</x:f>
      </x:c>
      <x:c r="I22" s="16" t="str">
        <x:f>IF(COUNTA(B22:F22)=0,"",IF(J22&lt;&gt;"OK","Revisar datos",C22-F22))</x:f>
      </x:c>
      <x:c r="J22" s="40" t="str">
        <x:f>IF(COUNTA(B22:F22)=0,"",IF(NOT(AND(ISNUMBER(B22),B22&gt;0,B22=INT(B22))),"Revisar: falta fecha",IF(COUNTIFS($B$14:$B$75,B22)&gt;1,"Revisar: fecha duplicada",IF(NOT(AND(ISNUMBER(C22),C22&gt;=0,ISNUMBER(D22),D22&gt;=0,D22=INT(D22),ISNUMBER(E22),E22&gt;=0,E22=INT(E22),ISNUMBER(F22),F22&gt;=0)),"Revisar: falta dato",IF(AND(C22&gt;0,OR(D22=0,E22=0)),"Revisar: cuentas o personas","OK")))))</x:f>
      </x:c>
    </x:row>
    <x:row r="23" ht="24" customHeight="1">
      <x:c r="A23" s="3"/>
      <x:c r="B23" s="25"/>
      <x:c r="C23" s="38"/>
      <x:c r="D23" s="39"/>
      <x:c r="E23" s="39"/>
      <x:c r="F23" s="38"/>
      <x:c r="G23" s="16" t="str">
        <x:f>IF(COUNTA(B23:F23)=0,"",IF(J23&lt;&gt;"OK","Revisar datos",IF(D23=0,"Sin tickets",C23/D23)))</x:f>
      </x:c>
      <x:c r="H23" s="16" t="str">
        <x:f>IF(COUNTA(B23:F23)=0,"",IF(J23&lt;&gt;"OK","Revisar datos",IF(E23=0,"Sin comensales",C23/E23)))</x:f>
      </x:c>
      <x:c r="I23" s="16" t="str">
        <x:f>IF(COUNTA(B23:F23)=0,"",IF(J23&lt;&gt;"OK","Revisar datos",C23-F23))</x:f>
      </x:c>
      <x:c r="J23" s="40" t="str">
        <x:f>IF(COUNTA(B23:F23)=0,"",IF(NOT(AND(ISNUMBER(B23),B23&gt;0,B23=INT(B23))),"Revisar: falta fecha",IF(COUNTIFS($B$14:$B$75,B23)&gt;1,"Revisar: fecha duplicada",IF(NOT(AND(ISNUMBER(C23),C23&gt;=0,ISNUMBER(D23),D23&gt;=0,D23=INT(D23),ISNUMBER(E23),E23&gt;=0,E23=INT(E23),ISNUMBER(F23),F23&gt;=0)),"Revisar: falta dato",IF(AND(C23&gt;0,OR(D23=0,E23=0)),"Revisar: cuentas o personas","OK")))))</x:f>
      </x:c>
    </x:row>
    <x:row r="24" ht="24" customHeight="1">
      <x:c r="A24" s="3"/>
      <x:c r="B24" s="25"/>
      <x:c r="C24" s="38"/>
      <x:c r="D24" s="39"/>
      <x:c r="E24" s="39"/>
      <x:c r="F24" s="38"/>
      <x:c r="G24" s="16" t="str">
        <x:f>IF(COUNTA(B24:F24)=0,"",IF(J24&lt;&gt;"OK","Revisar datos",IF(D24=0,"Sin tickets",C24/D24)))</x:f>
      </x:c>
      <x:c r="H24" s="16" t="str">
        <x:f>IF(COUNTA(B24:F24)=0,"",IF(J24&lt;&gt;"OK","Revisar datos",IF(E24=0,"Sin comensales",C24/E24)))</x:f>
      </x:c>
      <x:c r="I24" s="16" t="str">
        <x:f>IF(COUNTA(B24:F24)=0,"",IF(J24&lt;&gt;"OK","Revisar datos",C24-F24))</x:f>
      </x:c>
      <x:c r="J24" s="40" t="str">
        <x:f>IF(COUNTA(B24:F24)=0,"",IF(NOT(AND(ISNUMBER(B24),B24&gt;0,B24=INT(B24))),"Revisar: falta fecha",IF(COUNTIFS($B$14:$B$75,B24)&gt;1,"Revisar: fecha duplicada",IF(NOT(AND(ISNUMBER(C24),C24&gt;=0,ISNUMBER(D24),D24&gt;=0,D24=INT(D24),ISNUMBER(E24),E24&gt;=0,E24=INT(E24),ISNUMBER(F24),F24&gt;=0)),"Revisar: falta dato",IF(AND(C24&gt;0,OR(D24=0,E24=0)),"Revisar: cuentas o personas","OK")))))</x:f>
      </x:c>
    </x:row>
    <x:row r="25" ht="24" customHeight="1">
      <x:c r="A25" s="3"/>
      <x:c r="B25" s="25"/>
      <x:c r="C25" s="38"/>
      <x:c r="D25" s="39"/>
      <x:c r="E25" s="39"/>
      <x:c r="F25" s="38"/>
      <x:c r="G25" s="16" t="str">
        <x:f>IF(COUNTA(B25:F25)=0,"",IF(J25&lt;&gt;"OK","Revisar datos",IF(D25=0,"Sin tickets",C25/D25)))</x:f>
      </x:c>
      <x:c r="H25" s="16" t="str">
        <x:f>IF(COUNTA(B25:F25)=0,"",IF(J25&lt;&gt;"OK","Revisar datos",IF(E25=0,"Sin comensales",C25/E25)))</x:f>
      </x:c>
      <x:c r="I25" s="16" t="str">
        <x:f>IF(COUNTA(B25:F25)=0,"",IF(J25&lt;&gt;"OK","Revisar datos",C25-F25))</x:f>
      </x:c>
      <x:c r="J25" s="40" t="str">
        <x:f>IF(COUNTA(B25:F25)=0,"",IF(NOT(AND(ISNUMBER(B25),B25&gt;0,B25=INT(B25))),"Revisar: falta fecha",IF(COUNTIFS($B$14:$B$75,B25)&gt;1,"Revisar: fecha duplicada",IF(NOT(AND(ISNUMBER(C25),C25&gt;=0,ISNUMBER(D25),D25&gt;=0,D25=INT(D25),ISNUMBER(E25),E25&gt;=0,E25=INT(E25),ISNUMBER(F25),F25&gt;=0)),"Revisar: falta dato",IF(AND(C25&gt;0,OR(D25=0,E25=0)),"Revisar: cuentas o personas","OK")))))</x:f>
      </x:c>
    </x:row>
    <x:row r="26" ht="24" customHeight="1">
      <x:c r="A26" s="3"/>
      <x:c r="B26" s="25"/>
      <x:c r="C26" s="38"/>
      <x:c r="D26" s="39"/>
      <x:c r="E26" s="39"/>
      <x:c r="F26" s="38"/>
      <x:c r="G26" s="16" t="str">
        <x:f>IF(COUNTA(B26:F26)=0,"",IF(J26&lt;&gt;"OK","Revisar datos",IF(D26=0,"Sin tickets",C26/D26)))</x:f>
      </x:c>
      <x:c r="H26" s="16" t="str">
        <x:f>IF(COUNTA(B26:F26)=0,"",IF(J26&lt;&gt;"OK","Revisar datos",IF(E26=0,"Sin comensales",C26/E26)))</x:f>
      </x:c>
      <x:c r="I26" s="16" t="str">
        <x:f>IF(COUNTA(B26:F26)=0,"",IF(J26&lt;&gt;"OK","Revisar datos",C26-F26))</x:f>
      </x:c>
      <x:c r="J26" s="40" t="str">
        <x:f>IF(COUNTA(B26:F26)=0,"",IF(NOT(AND(ISNUMBER(B26),B26&gt;0,B26=INT(B26))),"Revisar: falta fecha",IF(COUNTIFS($B$14:$B$75,B26)&gt;1,"Revisar: fecha duplicada",IF(NOT(AND(ISNUMBER(C26),C26&gt;=0,ISNUMBER(D26),D26&gt;=0,D26=INT(D26),ISNUMBER(E26),E26&gt;=0,E26=INT(E26),ISNUMBER(F26),F26&gt;=0)),"Revisar: falta dato",IF(AND(C26&gt;0,OR(D26=0,E26=0)),"Revisar: cuentas o personas","OK")))))</x:f>
      </x:c>
    </x:row>
    <x:row r="27" ht="24" customHeight="1">
      <x:c r="A27" s="3"/>
      <x:c r="B27" s="25"/>
      <x:c r="C27" s="38"/>
      <x:c r="D27" s="39"/>
      <x:c r="E27" s="39"/>
      <x:c r="F27" s="38"/>
      <x:c r="G27" s="16" t="str">
        <x:f>IF(COUNTA(B27:F27)=0,"",IF(J27&lt;&gt;"OK","Revisar datos",IF(D27=0,"Sin tickets",C27/D27)))</x:f>
      </x:c>
      <x:c r="H27" s="16" t="str">
        <x:f>IF(COUNTA(B27:F27)=0,"",IF(J27&lt;&gt;"OK","Revisar datos",IF(E27=0,"Sin comensales",C27/E27)))</x:f>
      </x:c>
      <x:c r="I27" s="16" t="str">
        <x:f>IF(COUNTA(B27:F27)=0,"",IF(J27&lt;&gt;"OK","Revisar datos",C27-F27))</x:f>
      </x:c>
      <x:c r="J27" s="40" t="str">
        <x:f>IF(COUNTA(B27:F27)=0,"",IF(NOT(AND(ISNUMBER(B27),B27&gt;0,B27=INT(B27))),"Revisar: falta fecha",IF(COUNTIFS($B$14:$B$75,B27)&gt;1,"Revisar: fecha duplicada",IF(NOT(AND(ISNUMBER(C27),C27&gt;=0,ISNUMBER(D27),D27&gt;=0,D27=INT(D27),ISNUMBER(E27),E27&gt;=0,E27=INT(E27),ISNUMBER(F27),F27&gt;=0)),"Revisar: falta dato",IF(AND(C27&gt;0,OR(D27=0,E27=0)),"Revisar: cuentas o personas","OK")))))</x:f>
      </x:c>
    </x:row>
    <x:row r="28" ht="24" customHeight="1">
      <x:c r="A28" s="3"/>
      <x:c r="B28" s="25"/>
      <x:c r="C28" s="38"/>
      <x:c r="D28" s="39"/>
      <x:c r="E28" s="39"/>
      <x:c r="F28" s="38"/>
      <x:c r="G28" s="16" t="str">
        <x:f>IF(COUNTA(B28:F28)=0,"",IF(J28&lt;&gt;"OK","Revisar datos",IF(D28=0,"Sin tickets",C28/D28)))</x:f>
      </x:c>
      <x:c r="H28" s="16" t="str">
        <x:f>IF(COUNTA(B28:F28)=0,"",IF(J28&lt;&gt;"OK","Revisar datos",IF(E28=0,"Sin comensales",C28/E28)))</x:f>
      </x:c>
      <x:c r="I28" s="16" t="str">
        <x:f>IF(COUNTA(B28:F28)=0,"",IF(J28&lt;&gt;"OK","Revisar datos",C28-F28))</x:f>
      </x:c>
      <x:c r="J28" s="40" t="str">
        <x:f>IF(COUNTA(B28:F28)=0,"",IF(NOT(AND(ISNUMBER(B28),B28&gt;0,B28=INT(B28))),"Revisar: falta fecha",IF(COUNTIFS($B$14:$B$75,B28)&gt;1,"Revisar: fecha duplicada",IF(NOT(AND(ISNUMBER(C28),C28&gt;=0,ISNUMBER(D28),D28&gt;=0,D28=INT(D28),ISNUMBER(E28),E28&gt;=0,E28=INT(E28),ISNUMBER(F28),F28&gt;=0)),"Revisar: falta dato",IF(AND(C28&gt;0,OR(D28=0,E28=0)),"Revisar: cuentas o personas","OK")))))</x:f>
      </x:c>
    </x:row>
    <x:row r="29" ht="24" customHeight="1">
      <x:c r="A29" s="3"/>
      <x:c r="B29" s="25"/>
      <x:c r="C29" s="38"/>
      <x:c r="D29" s="39"/>
      <x:c r="E29" s="39"/>
      <x:c r="F29" s="38"/>
      <x:c r="G29" s="16" t="str">
        <x:f>IF(COUNTA(B29:F29)=0,"",IF(J29&lt;&gt;"OK","Revisar datos",IF(D29=0,"Sin tickets",C29/D29)))</x:f>
      </x:c>
      <x:c r="H29" s="16" t="str">
        <x:f>IF(COUNTA(B29:F29)=0,"",IF(J29&lt;&gt;"OK","Revisar datos",IF(E29=0,"Sin comensales",C29/E29)))</x:f>
      </x:c>
      <x:c r="I29" s="16" t="str">
        <x:f>IF(COUNTA(B29:F29)=0,"",IF(J29&lt;&gt;"OK","Revisar datos",C29-F29))</x:f>
      </x:c>
      <x:c r="J29" s="40" t="str">
        <x:f>IF(COUNTA(B29:F29)=0,"",IF(NOT(AND(ISNUMBER(B29),B29&gt;0,B29=INT(B29))),"Revisar: falta fecha",IF(COUNTIFS($B$14:$B$75,B29)&gt;1,"Revisar: fecha duplicada",IF(NOT(AND(ISNUMBER(C29),C29&gt;=0,ISNUMBER(D29),D29&gt;=0,D29=INT(D29),ISNUMBER(E29),E29&gt;=0,E29=INT(E29),ISNUMBER(F29),F29&gt;=0)),"Revisar: falta dato",IF(AND(C29&gt;0,OR(D29=0,E29=0)),"Revisar: cuentas o personas","OK")))))</x:f>
      </x:c>
    </x:row>
    <x:row r="30" ht="24" customHeight="1">
      <x:c r="A30" s="3"/>
      <x:c r="B30" s="25"/>
      <x:c r="C30" s="38"/>
      <x:c r="D30" s="39"/>
      <x:c r="E30" s="39"/>
      <x:c r="F30" s="38"/>
      <x:c r="G30" s="16" t="str">
        <x:f>IF(COUNTA(B30:F30)=0,"",IF(J30&lt;&gt;"OK","Revisar datos",IF(D30=0,"Sin tickets",C30/D30)))</x:f>
      </x:c>
      <x:c r="H30" s="16" t="str">
        <x:f>IF(COUNTA(B30:F30)=0,"",IF(J30&lt;&gt;"OK","Revisar datos",IF(E30=0,"Sin comensales",C30/E30)))</x:f>
      </x:c>
      <x:c r="I30" s="16" t="str">
        <x:f>IF(COUNTA(B30:F30)=0,"",IF(J30&lt;&gt;"OK","Revisar datos",C30-F30))</x:f>
      </x:c>
      <x:c r="J30" s="40" t="str">
        <x:f>IF(COUNTA(B30:F30)=0,"",IF(NOT(AND(ISNUMBER(B30),B30&gt;0,B30=INT(B30))),"Revisar: falta fecha",IF(COUNTIFS($B$14:$B$75,B30)&gt;1,"Revisar: fecha duplicada",IF(NOT(AND(ISNUMBER(C30),C30&gt;=0,ISNUMBER(D30),D30&gt;=0,D30=INT(D30),ISNUMBER(E30),E30&gt;=0,E30=INT(E30),ISNUMBER(F30),F30&gt;=0)),"Revisar: falta dato",IF(AND(C30&gt;0,OR(D30=0,E30=0)),"Revisar: cuentas o personas","OK")))))</x:f>
      </x:c>
    </x:row>
    <x:row r="31" ht="24" customHeight="1">
      <x:c r="A31" s="3"/>
      <x:c r="B31" s="25"/>
      <x:c r="C31" s="38"/>
      <x:c r="D31" s="39"/>
      <x:c r="E31" s="39"/>
      <x:c r="F31" s="38"/>
      <x:c r="G31" s="16" t="str">
        <x:f>IF(COUNTA(B31:F31)=0,"",IF(J31&lt;&gt;"OK","Revisar datos",IF(D31=0,"Sin tickets",C31/D31)))</x:f>
      </x:c>
      <x:c r="H31" s="16" t="str">
        <x:f>IF(COUNTA(B31:F31)=0,"",IF(J31&lt;&gt;"OK","Revisar datos",IF(E31=0,"Sin comensales",C31/E31)))</x:f>
      </x:c>
      <x:c r="I31" s="16" t="str">
        <x:f>IF(COUNTA(B31:F31)=0,"",IF(J31&lt;&gt;"OK","Revisar datos",C31-F31))</x:f>
      </x:c>
      <x:c r="J31" s="40" t="str">
        <x:f>IF(COUNTA(B31:F31)=0,"",IF(NOT(AND(ISNUMBER(B31),B31&gt;0,B31=INT(B31))),"Revisar: falta fecha",IF(COUNTIFS($B$14:$B$75,B31)&gt;1,"Revisar: fecha duplicada",IF(NOT(AND(ISNUMBER(C31),C31&gt;=0,ISNUMBER(D31),D31&gt;=0,D31=INT(D31),ISNUMBER(E31),E31&gt;=0,E31=INT(E31),ISNUMBER(F31),F31&gt;=0)),"Revisar: falta dato",IF(AND(C31&gt;0,OR(D31=0,E31=0)),"Revisar: cuentas o personas","OK")))))</x:f>
      </x:c>
    </x:row>
    <x:row r="32" ht="24" customHeight="1">
      <x:c r="A32" s="3"/>
      <x:c r="B32" s="25"/>
      <x:c r="C32" s="38"/>
      <x:c r="D32" s="39"/>
      <x:c r="E32" s="39"/>
      <x:c r="F32" s="38"/>
      <x:c r="G32" s="16" t="str">
        <x:f>IF(COUNTA(B32:F32)=0,"",IF(J32&lt;&gt;"OK","Revisar datos",IF(D32=0,"Sin tickets",C32/D32)))</x:f>
      </x:c>
      <x:c r="H32" s="16" t="str">
        <x:f>IF(COUNTA(B32:F32)=0,"",IF(J32&lt;&gt;"OK","Revisar datos",IF(E32=0,"Sin comensales",C32/E32)))</x:f>
      </x:c>
      <x:c r="I32" s="16" t="str">
        <x:f>IF(COUNTA(B32:F32)=0,"",IF(J32&lt;&gt;"OK","Revisar datos",C32-F32))</x:f>
      </x:c>
      <x:c r="J32" s="40" t="str">
        <x:f>IF(COUNTA(B32:F32)=0,"",IF(NOT(AND(ISNUMBER(B32),B32&gt;0,B32=INT(B32))),"Revisar: falta fecha",IF(COUNTIFS($B$14:$B$75,B32)&gt;1,"Revisar: fecha duplicada",IF(NOT(AND(ISNUMBER(C32),C32&gt;=0,ISNUMBER(D32),D32&gt;=0,D32=INT(D32),ISNUMBER(E32),E32&gt;=0,E32=INT(E32),ISNUMBER(F32),F32&gt;=0)),"Revisar: falta dato",IF(AND(C32&gt;0,OR(D32=0,E32=0)),"Revisar: cuentas o personas","OK")))))</x:f>
      </x:c>
    </x:row>
    <x:row r="33" ht="24" customHeight="1">
      <x:c r="A33" s="3"/>
      <x:c r="B33" s="25"/>
      <x:c r="C33" s="38"/>
      <x:c r="D33" s="39"/>
      <x:c r="E33" s="39"/>
      <x:c r="F33" s="38"/>
      <x:c r="G33" s="16" t="str">
        <x:f>IF(COUNTA(B33:F33)=0,"",IF(J33&lt;&gt;"OK","Revisar datos",IF(D33=0,"Sin tickets",C33/D33)))</x:f>
      </x:c>
      <x:c r="H33" s="16" t="str">
        <x:f>IF(COUNTA(B33:F33)=0,"",IF(J33&lt;&gt;"OK","Revisar datos",IF(E33=0,"Sin comensales",C33/E33)))</x:f>
      </x:c>
      <x:c r="I33" s="16" t="str">
        <x:f>IF(COUNTA(B33:F33)=0,"",IF(J33&lt;&gt;"OK","Revisar datos",C33-F33))</x:f>
      </x:c>
      <x:c r="J33" s="40" t="str">
        <x:f>IF(COUNTA(B33:F33)=0,"",IF(NOT(AND(ISNUMBER(B33),B33&gt;0,B33=INT(B33))),"Revisar: falta fecha",IF(COUNTIFS($B$14:$B$75,B33)&gt;1,"Revisar: fecha duplicada",IF(NOT(AND(ISNUMBER(C33),C33&gt;=0,ISNUMBER(D33),D33&gt;=0,D33=INT(D33),ISNUMBER(E33),E33&gt;=0,E33=INT(E33),ISNUMBER(F33),F33&gt;=0)),"Revisar: falta dato",IF(AND(C33&gt;0,OR(D33=0,E33=0)),"Revisar: cuentas o personas","OK")))))</x:f>
      </x:c>
    </x:row>
    <x:row r="34" ht="24" customHeight="1">
      <x:c r="A34" s="3"/>
      <x:c r="B34" s="25"/>
      <x:c r="C34" s="38"/>
      <x:c r="D34" s="39"/>
      <x:c r="E34" s="39"/>
      <x:c r="F34" s="38"/>
      <x:c r="G34" s="16" t="str">
        <x:f>IF(COUNTA(B34:F34)=0,"",IF(J34&lt;&gt;"OK","Revisar datos",IF(D34=0,"Sin tickets",C34/D34)))</x:f>
      </x:c>
      <x:c r="H34" s="16" t="str">
        <x:f>IF(COUNTA(B34:F34)=0,"",IF(J34&lt;&gt;"OK","Revisar datos",IF(E34=0,"Sin comensales",C34/E34)))</x:f>
      </x:c>
      <x:c r="I34" s="16" t="str">
        <x:f>IF(COUNTA(B34:F34)=0,"",IF(J34&lt;&gt;"OK","Revisar datos",C34-F34))</x:f>
      </x:c>
      <x:c r="J34" s="40" t="str">
        <x:f>IF(COUNTA(B34:F34)=0,"",IF(NOT(AND(ISNUMBER(B34),B34&gt;0,B34=INT(B34))),"Revisar: falta fecha",IF(COUNTIFS($B$14:$B$75,B34)&gt;1,"Revisar: fecha duplicada",IF(NOT(AND(ISNUMBER(C34),C34&gt;=0,ISNUMBER(D34),D34&gt;=0,D34=INT(D34),ISNUMBER(E34),E34&gt;=0,E34=INT(E34),ISNUMBER(F34),F34&gt;=0)),"Revisar: falta dato",IF(AND(C34&gt;0,OR(D34=0,E34=0)),"Revisar: cuentas o personas","OK")))))</x:f>
      </x:c>
    </x:row>
    <x:row r="35" ht="24" customHeight="1">
      <x:c r="A35" s="3"/>
      <x:c r="B35" s="25"/>
      <x:c r="C35" s="38"/>
      <x:c r="D35" s="39"/>
      <x:c r="E35" s="39"/>
      <x:c r="F35" s="38"/>
      <x:c r="G35" s="16" t="str">
        <x:f>IF(COUNTA(B35:F35)=0,"",IF(J35&lt;&gt;"OK","Revisar datos",IF(D35=0,"Sin tickets",C35/D35)))</x:f>
      </x:c>
      <x:c r="H35" s="16" t="str">
        <x:f>IF(COUNTA(B35:F35)=0,"",IF(J35&lt;&gt;"OK","Revisar datos",IF(E35=0,"Sin comensales",C35/E35)))</x:f>
      </x:c>
      <x:c r="I35" s="16" t="str">
        <x:f>IF(COUNTA(B35:F35)=0,"",IF(J35&lt;&gt;"OK","Revisar datos",C35-F35))</x:f>
      </x:c>
      <x:c r="J35" s="40" t="str">
        <x:f>IF(COUNTA(B35:F35)=0,"",IF(NOT(AND(ISNUMBER(B35),B35&gt;0,B35=INT(B35))),"Revisar: falta fecha",IF(COUNTIFS($B$14:$B$75,B35)&gt;1,"Revisar: fecha duplicada",IF(NOT(AND(ISNUMBER(C35),C35&gt;=0,ISNUMBER(D35),D35&gt;=0,D35=INT(D35),ISNUMBER(E35),E35&gt;=0,E35=INT(E35),ISNUMBER(F35),F35&gt;=0)),"Revisar: falta dato",IF(AND(C35&gt;0,OR(D35=0,E35=0)),"Revisar: cuentas o personas","OK")))))</x:f>
      </x:c>
    </x:row>
    <x:row r="36" ht="24" customHeight="1">
      <x:c r="A36" s="3"/>
      <x:c r="B36" s="25"/>
      <x:c r="C36" s="38"/>
      <x:c r="D36" s="39"/>
      <x:c r="E36" s="39"/>
      <x:c r="F36" s="38"/>
      <x:c r="G36" s="16" t="str">
        <x:f>IF(COUNTA(B36:F36)=0,"",IF(J36&lt;&gt;"OK","Revisar datos",IF(D36=0,"Sin tickets",C36/D36)))</x:f>
      </x:c>
      <x:c r="H36" s="16" t="str">
        <x:f>IF(COUNTA(B36:F36)=0,"",IF(J36&lt;&gt;"OK","Revisar datos",IF(E36=0,"Sin comensales",C36/E36)))</x:f>
      </x:c>
      <x:c r="I36" s="16" t="str">
        <x:f>IF(COUNTA(B36:F36)=0,"",IF(J36&lt;&gt;"OK","Revisar datos",C36-F36))</x:f>
      </x:c>
      <x:c r="J36" s="40" t="str">
        <x:f>IF(COUNTA(B36:F36)=0,"",IF(NOT(AND(ISNUMBER(B36),B36&gt;0,B36=INT(B36))),"Revisar: falta fecha",IF(COUNTIFS($B$14:$B$75,B36)&gt;1,"Revisar: fecha duplicada",IF(NOT(AND(ISNUMBER(C36),C36&gt;=0,ISNUMBER(D36),D36&gt;=0,D36=INT(D36),ISNUMBER(E36),E36&gt;=0,E36=INT(E36),ISNUMBER(F36),F36&gt;=0)),"Revisar: falta dato",IF(AND(C36&gt;0,OR(D36=0,E36=0)),"Revisar: cuentas o personas","OK")))))</x:f>
      </x:c>
    </x:row>
    <x:row r="37" ht="24" customHeight="1">
      <x:c r="A37" s="3"/>
      <x:c r="B37" s="25"/>
      <x:c r="C37" s="38"/>
      <x:c r="D37" s="39"/>
      <x:c r="E37" s="39"/>
      <x:c r="F37" s="38"/>
      <x:c r="G37" s="16" t="str">
        <x:f>IF(COUNTA(B37:F37)=0,"",IF(J37&lt;&gt;"OK","Revisar datos",IF(D37=0,"Sin tickets",C37/D37)))</x:f>
      </x:c>
      <x:c r="H37" s="16" t="str">
        <x:f>IF(COUNTA(B37:F37)=0,"",IF(J37&lt;&gt;"OK","Revisar datos",IF(E37=0,"Sin comensales",C37/E37)))</x:f>
      </x:c>
      <x:c r="I37" s="16" t="str">
        <x:f>IF(COUNTA(B37:F37)=0,"",IF(J37&lt;&gt;"OK","Revisar datos",C37-F37))</x:f>
      </x:c>
      <x:c r="J37" s="40" t="str">
        <x:f>IF(COUNTA(B37:F37)=0,"",IF(NOT(AND(ISNUMBER(B37),B37&gt;0,B37=INT(B37))),"Revisar: falta fecha",IF(COUNTIFS($B$14:$B$75,B37)&gt;1,"Revisar: fecha duplicada",IF(NOT(AND(ISNUMBER(C37),C37&gt;=0,ISNUMBER(D37),D37&gt;=0,D37=INT(D37),ISNUMBER(E37),E37&gt;=0,E37=INT(E37),ISNUMBER(F37),F37&gt;=0)),"Revisar: falta dato",IF(AND(C37&gt;0,OR(D37=0,E37=0)),"Revisar: cuentas o personas","OK")))))</x:f>
      </x:c>
    </x:row>
    <x:row r="38" ht="24" customHeight="1">
      <x:c r="A38" s="3"/>
      <x:c r="B38" s="25"/>
      <x:c r="C38" s="38"/>
      <x:c r="D38" s="39"/>
      <x:c r="E38" s="39"/>
      <x:c r="F38" s="38"/>
      <x:c r="G38" s="16" t="str">
        <x:f>IF(COUNTA(B38:F38)=0,"",IF(J38&lt;&gt;"OK","Revisar datos",IF(D38=0,"Sin tickets",C38/D38)))</x:f>
      </x:c>
      <x:c r="H38" s="16" t="str">
        <x:f>IF(COUNTA(B38:F38)=0,"",IF(J38&lt;&gt;"OK","Revisar datos",IF(E38=0,"Sin comensales",C38/E38)))</x:f>
      </x:c>
      <x:c r="I38" s="16" t="str">
        <x:f>IF(COUNTA(B38:F38)=0,"",IF(J38&lt;&gt;"OK","Revisar datos",C38-F38))</x:f>
      </x:c>
      <x:c r="J38" s="40" t="str">
        <x:f>IF(COUNTA(B38:F38)=0,"",IF(NOT(AND(ISNUMBER(B38),B38&gt;0,B38=INT(B38))),"Revisar: falta fecha",IF(COUNTIFS($B$14:$B$75,B38)&gt;1,"Revisar: fecha duplicada",IF(NOT(AND(ISNUMBER(C38),C38&gt;=0,ISNUMBER(D38),D38&gt;=0,D38=INT(D38),ISNUMBER(E38),E38&gt;=0,E38=INT(E38),ISNUMBER(F38),F38&gt;=0)),"Revisar: falta dato",IF(AND(C38&gt;0,OR(D38=0,E38=0)),"Revisar: cuentas o personas","OK")))))</x:f>
      </x:c>
    </x:row>
    <x:row r="39" ht="24" customHeight="1">
      <x:c r="A39" s="3"/>
      <x:c r="B39" s="25"/>
      <x:c r="C39" s="38"/>
      <x:c r="D39" s="39"/>
      <x:c r="E39" s="39"/>
      <x:c r="F39" s="38"/>
      <x:c r="G39" s="16" t="str">
        <x:f>IF(COUNTA(B39:F39)=0,"",IF(J39&lt;&gt;"OK","Revisar datos",IF(D39=0,"Sin tickets",C39/D39)))</x:f>
      </x:c>
      <x:c r="H39" s="16" t="str">
        <x:f>IF(COUNTA(B39:F39)=0,"",IF(J39&lt;&gt;"OK","Revisar datos",IF(E39=0,"Sin comensales",C39/E39)))</x:f>
      </x:c>
      <x:c r="I39" s="16" t="str">
        <x:f>IF(COUNTA(B39:F39)=0,"",IF(J39&lt;&gt;"OK","Revisar datos",C39-F39))</x:f>
      </x:c>
      <x:c r="J39" s="40" t="str">
        <x:f>IF(COUNTA(B39:F39)=0,"",IF(NOT(AND(ISNUMBER(B39),B39&gt;0,B39=INT(B39))),"Revisar: falta fecha",IF(COUNTIFS($B$14:$B$75,B39)&gt;1,"Revisar: fecha duplicada",IF(NOT(AND(ISNUMBER(C39),C39&gt;=0,ISNUMBER(D39),D39&gt;=0,D39=INT(D39),ISNUMBER(E39),E39&gt;=0,E39=INT(E39),ISNUMBER(F39),F39&gt;=0)),"Revisar: falta dato",IF(AND(C39&gt;0,OR(D39=0,E39=0)),"Revisar: cuentas o personas","OK")))))</x:f>
      </x:c>
    </x:row>
    <x:row r="40" ht="24" customHeight="1">
      <x:c r="A40" s="3"/>
      <x:c r="B40" s="25"/>
      <x:c r="C40" s="38"/>
      <x:c r="D40" s="39"/>
      <x:c r="E40" s="39"/>
      <x:c r="F40" s="38"/>
      <x:c r="G40" s="16" t="str">
        <x:f>IF(COUNTA(B40:F40)=0,"",IF(J40&lt;&gt;"OK","Revisar datos",IF(D40=0,"Sin tickets",C40/D40)))</x:f>
      </x:c>
      <x:c r="H40" s="16" t="str">
        <x:f>IF(COUNTA(B40:F40)=0,"",IF(J40&lt;&gt;"OK","Revisar datos",IF(E40=0,"Sin comensales",C40/E40)))</x:f>
      </x:c>
      <x:c r="I40" s="16" t="str">
        <x:f>IF(COUNTA(B40:F40)=0,"",IF(J40&lt;&gt;"OK","Revisar datos",C40-F40))</x:f>
      </x:c>
      <x:c r="J40" s="40" t="str">
        <x:f>IF(COUNTA(B40:F40)=0,"",IF(NOT(AND(ISNUMBER(B40),B40&gt;0,B40=INT(B40))),"Revisar: falta fecha",IF(COUNTIFS($B$14:$B$75,B40)&gt;1,"Revisar: fecha duplicada",IF(NOT(AND(ISNUMBER(C40),C40&gt;=0,ISNUMBER(D40),D40&gt;=0,D40=INT(D40),ISNUMBER(E40),E40&gt;=0,E40=INT(E40),ISNUMBER(F40),F40&gt;=0)),"Revisar: falta dato",IF(AND(C40&gt;0,OR(D40=0,E40=0)),"Revisar: cuentas o personas","OK")))))</x:f>
      </x:c>
    </x:row>
    <x:row r="41" ht="24" customHeight="1">
      <x:c r="A41" s="3"/>
      <x:c r="B41" s="25"/>
      <x:c r="C41" s="38"/>
      <x:c r="D41" s="39"/>
      <x:c r="E41" s="39"/>
      <x:c r="F41" s="38"/>
      <x:c r="G41" s="16" t="str">
        <x:f>IF(COUNTA(B41:F41)=0,"",IF(J41&lt;&gt;"OK","Revisar datos",IF(D41=0,"Sin tickets",C41/D41)))</x:f>
      </x:c>
      <x:c r="H41" s="16" t="str">
        <x:f>IF(COUNTA(B41:F41)=0,"",IF(J41&lt;&gt;"OK","Revisar datos",IF(E41=0,"Sin comensales",C41/E41)))</x:f>
      </x:c>
      <x:c r="I41" s="16" t="str">
        <x:f>IF(COUNTA(B41:F41)=0,"",IF(J41&lt;&gt;"OK","Revisar datos",C41-F41))</x:f>
      </x:c>
      <x:c r="J41" s="40" t="str">
        <x:f>IF(COUNTA(B41:F41)=0,"",IF(NOT(AND(ISNUMBER(B41),B41&gt;0,B41=INT(B41))),"Revisar: falta fecha",IF(COUNTIFS($B$14:$B$75,B41)&gt;1,"Revisar: fecha duplicada",IF(NOT(AND(ISNUMBER(C41),C41&gt;=0,ISNUMBER(D41),D41&gt;=0,D41=INT(D41),ISNUMBER(E41),E41&gt;=0,E41=INT(E41),ISNUMBER(F41),F41&gt;=0)),"Revisar: falta dato",IF(AND(C41&gt;0,OR(D41=0,E41=0)),"Revisar: cuentas o personas","OK")))))</x:f>
      </x:c>
    </x:row>
    <x:row r="42" ht="24" customHeight="1">
      <x:c r="A42" s="3"/>
      <x:c r="B42" s="25"/>
      <x:c r="C42" s="38"/>
      <x:c r="D42" s="39"/>
      <x:c r="E42" s="39"/>
      <x:c r="F42" s="38"/>
      <x:c r="G42" s="16" t="str">
        <x:f>IF(COUNTA(B42:F42)=0,"",IF(J42&lt;&gt;"OK","Revisar datos",IF(D42=0,"Sin tickets",C42/D42)))</x:f>
      </x:c>
      <x:c r="H42" s="16" t="str">
        <x:f>IF(COUNTA(B42:F42)=0,"",IF(J42&lt;&gt;"OK","Revisar datos",IF(E42=0,"Sin comensales",C42/E42)))</x:f>
      </x:c>
      <x:c r="I42" s="16" t="str">
        <x:f>IF(COUNTA(B42:F42)=0,"",IF(J42&lt;&gt;"OK","Revisar datos",C42-F42))</x:f>
      </x:c>
      <x:c r="J42" s="40" t="str">
        <x:f>IF(COUNTA(B42:F42)=0,"",IF(NOT(AND(ISNUMBER(B42),B42&gt;0,B42=INT(B42))),"Revisar: falta fecha",IF(COUNTIFS($B$14:$B$75,B42)&gt;1,"Revisar: fecha duplicada",IF(NOT(AND(ISNUMBER(C42),C42&gt;=0,ISNUMBER(D42),D42&gt;=0,D42=INT(D42),ISNUMBER(E42),E42&gt;=0,E42=INT(E42),ISNUMBER(F42),F42&gt;=0)),"Revisar: falta dato",IF(AND(C42&gt;0,OR(D42=0,E42=0)),"Revisar: cuentas o personas","OK")))))</x:f>
      </x:c>
    </x:row>
    <x:row r="43" ht="24" customHeight="1">
      <x:c r="A43" s="3"/>
      <x:c r="B43" s="25"/>
      <x:c r="C43" s="38"/>
      <x:c r="D43" s="39"/>
      <x:c r="E43" s="39"/>
      <x:c r="F43" s="38"/>
      <x:c r="G43" s="16" t="str">
        <x:f>IF(COUNTA(B43:F43)=0,"",IF(J43&lt;&gt;"OK","Revisar datos",IF(D43=0,"Sin tickets",C43/D43)))</x:f>
      </x:c>
      <x:c r="H43" s="16" t="str">
        <x:f>IF(COUNTA(B43:F43)=0,"",IF(J43&lt;&gt;"OK","Revisar datos",IF(E43=0,"Sin comensales",C43/E43)))</x:f>
      </x:c>
      <x:c r="I43" s="16" t="str">
        <x:f>IF(COUNTA(B43:F43)=0,"",IF(J43&lt;&gt;"OK","Revisar datos",C43-F43))</x:f>
      </x:c>
      <x:c r="J43" s="40" t="str">
        <x:f>IF(COUNTA(B43:F43)=0,"",IF(NOT(AND(ISNUMBER(B43),B43&gt;0,B43=INT(B43))),"Revisar: falta fecha",IF(COUNTIFS($B$14:$B$75,B43)&gt;1,"Revisar: fecha duplicada",IF(NOT(AND(ISNUMBER(C43),C43&gt;=0,ISNUMBER(D43),D43&gt;=0,D43=INT(D43),ISNUMBER(E43),E43&gt;=0,E43=INT(E43),ISNUMBER(F43),F43&gt;=0)),"Revisar: falta dato",IF(AND(C43&gt;0,OR(D43=0,E43=0)),"Revisar: cuentas o personas","OK")))))</x:f>
      </x:c>
    </x:row>
    <x:row r="44" ht="24" customHeight="1">
      <x:c r="A44" s="3"/>
      <x:c r="B44" s="25"/>
      <x:c r="C44" s="38"/>
      <x:c r="D44" s="39"/>
      <x:c r="E44" s="39"/>
      <x:c r="F44" s="38"/>
      <x:c r="G44" s="16" t="str">
        <x:f>IF(COUNTA(B44:F44)=0,"",IF(J44&lt;&gt;"OK","Revisar datos",IF(D44=0,"Sin tickets",C44/D44)))</x:f>
      </x:c>
      <x:c r="H44" s="16" t="str">
        <x:f>IF(COUNTA(B44:F44)=0,"",IF(J44&lt;&gt;"OK","Revisar datos",IF(E44=0,"Sin comensales",C44/E44)))</x:f>
      </x:c>
      <x:c r="I44" s="16" t="str">
        <x:f>IF(COUNTA(B44:F44)=0,"",IF(J44&lt;&gt;"OK","Revisar datos",C44-F44))</x:f>
      </x:c>
      <x:c r="J44" s="40" t="str">
        <x:f>IF(COUNTA(B44:F44)=0,"",IF(NOT(AND(ISNUMBER(B44),B44&gt;0,B44=INT(B44))),"Revisar: falta fecha",IF(COUNTIFS($B$14:$B$75,B44)&gt;1,"Revisar: fecha duplicada",IF(NOT(AND(ISNUMBER(C44),C44&gt;=0,ISNUMBER(D44),D44&gt;=0,D44=INT(D44),ISNUMBER(E44),E44&gt;=0,E44=INT(E44),ISNUMBER(F44),F44&gt;=0)),"Revisar: falta dato",IF(AND(C44&gt;0,OR(D44=0,E44=0)),"Revisar: cuentas o personas","OK")))))</x:f>
      </x:c>
    </x:row>
    <x:row r="45" ht="24" customHeight="1">
      <x:c r="A45" s="3"/>
      <x:c r="B45" s="25"/>
      <x:c r="C45" s="38"/>
      <x:c r="D45" s="39"/>
      <x:c r="E45" s="39"/>
      <x:c r="F45" s="38"/>
      <x:c r="G45" s="16" t="str">
        <x:f>IF(COUNTA(B45:F45)=0,"",IF(J45&lt;&gt;"OK","Revisar datos",IF(D45=0,"Sin tickets",C45/D45)))</x:f>
      </x:c>
      <x:c r="H45" s="16" t="str">
        <x:f>IF(COUNTA(B45:F45)=0,"",IF(J45&lt;&gt;"OK","Revisar datos",IF(E45=0,"Sin comensales",C45/E45)))</x:f>
      </x:c>
      <x:c r="I45" s="16" t="str">
        <x:f>IF(COUNTA(B45:F45)=0,"",IF(J45&lt;&gt;"OK","Revisar datos",C45-F45))</x:f>
      </x:c>
      <x:c r="J45" s="40" t="str">
        <x:f>IF(COUNTA(B45:F45)=0,"",IF(NOT(AND(ISNUMBER(B45),B45&gt;0,B45=INT(B45))),"Revisar: falta fecha",IF(COUNTIFS($B$14:$B$75,B45)&gt;1,"Revisar: fecha duplicada",IF(NOT(AND(ISNUMBER(C45),C45&gt;=0,ISNUMBER(D45),D45&gt;=0,D45=INT(D45),ISNUMBER(E45),E45&gt;=0,E45=INT(E45),ISNUMBER(F45),F45&gt;=0)),"Revisar: falta dato",IF(AND(C45&gt;0,OR(D45=0,E45=0)),"Revisar: cuentas o personas","OK")))))</x:f>
      </x:c>
    </x:row>
    <x:row r="46" ht="24" customHeight="1">
      <x:c r="A46" s="3"/>
      <x:c r="B46" s="25"/>
      <x:c r="C46" s="38"/>
      <x:c r="D46" s="39"/>
      <x:c r="E46" s="39"/>
      <x:c r="F46" s="38"/>
      <x:c r="G46" s="16" t="str">
        <x:f>IF(COUNTA(B46:F46)=0,"",IF(J46&lt;&gt;"OK","Revisar datos",IF(D46=0,"Sin tickets",C46/D46)))</x:f>
      </x:c>
      <x:c r="H46" s="16" t="str">
        <x:f>IF(COUNTA(B46:F46)=0,"",IF(J46&lt;&gt;"OK","Revisar datos",IF(E46=0,"Sin comensales",C46/E46)))</x:f>
      </x:c>
      <x:c r="I46" s="16" t="str">
        <x:f>IF(COUNTA(B46:F46)=0,"",IF(J46&lt;&gt;"OK","Revisar datos",C46-F46))</x:f>
      </x:c>
      <x:c r="J46" s="40" t="str">
        <x:f>IF(COUNTA(B46:F46)=0,"",IF(NOT(AND(ISNUMBER(B46),B46&gt;0,B46=INT(B46))),"Revisar: falta fecha",IF(COUNTIFS($B$14:$B$75,B46)&gt;1,"Revisar: fecha duplicada",IF(NOT(AND(ISNUMBER(C46),C46&gt;=0,ISNUMBER(D46),D46&gt;=0,D46=INT(D46),ISNUMBER(E46),E46&gt;=0,E46=INT(E46),ISNUMBER(F46),F46&gt;=0)),"Revisar: falta dato",IF(AND(C46&gt;0,OR(D46=0,E46=0)),"Revisar: cuentas o personas","OK")))))</x:f>
      </x:c>
    </x:row>
    <x:row r="47" ht="24" customHeight="1">
      <x:c r="A47" s="3"/>
      <x:c r="B47" s="25"/>
      <x:c r="C47" s="38"/>
      <x:c r="D47" s="39"/>
      <x:c r="E47" s="39"/>
      <x:c r="F47" s="38"/>
      <x:c r="G47" s="16" t="str">
        <x:f>IF(COUNTA(B47:F47)=0,"",IF(J47&lt;&gt;"OK","Revisar datos",IF(D47=0,"Sin tickets",C47/D47)))</x:f>
      </x:c>
      <x:c r="H47" s="16" t="str">
        <x:f>IF(COUNTA(B47:F47)=0,"",IF(J47&lt;&gt;"OK","Revisar datos",IF(E47=0,"Sin comensales",C47/E47)))</x:f>
      </x:c>
      <x:c r="I47" s="16" t="str">
        <x:f>IF(COUNTA(B47:F47)=0,"",IF(J47&lt;&gt;"OK","Revisar datos",C47-F47))</x:f>
      </x:c>
      <x:c r="J47" s="40" t="str">
        <x:f>IF(COUNTA(B47:F47)=0,"",IF(NOT(AND(ISNUMBER(B47),B47&gt;0,B47=INT(B47))),"Revisar: falta fecha",IF(COUNTIFS($B$14:$B$75,B47)&gt;1,"Revisar: fecha duplicada",IF(NOT(AND(ISNUMBER(C47),C47&gt;=0,ISNUMBER(D47),D47&gt;=0,D47=INT(D47),ISNUMBER(E47),E47&gt;=0,E47=INT(E47),ISNUMBER(F47),F47&gt;=0)),"Revisar: falta dato",IF(AND(C47&gt;0,OR(D47=0,E47=0)),"Revisar: cuentas o personas","OK")))))</x:f>
      </x:c>
    </x:row>
    <x:row r="48" ht="24" customHeight="1">
      <x:c r="A48" s="3"/>
      <x:c r="B48" s="25"/>
      <x:c r="C48" s="38"/>
      <x:c r="D48" s="39"/>
      <x:c r="E48" s="39"/>
      <x:c r="F48" s="38"/>
      <x:c r="G48" s="16" t="str">
        <x:f>IF(COUNTA(B48:F48)=0,"",IF(J48&lt;&gt;"OK","Revisar datos",IF(D48=0,"Sin tickets",C48/D48)))</x:f>
      </x:c>
      <x:c r="H48" s="16" t="str">
        <x:f>IF(COUNTA(B48:F48)=0,"",IF(J48&lt;&gt;"OK","Revisar datos",IF(E48=0,"Sin comensales",C48/E48)))</x:f>
      </x:c>
      <x:c r="I48" s="16" t="str">
        <x:f>IF(COUNTA(B48:F48)=0,"",IF(J48&lt;&gt;"OK","Revisar datos",C48-F48))</x:f>
      </x:c>
      <x:c r="J48" s="40" t="str">
        <x:f>IF(COUNTA(B48:F48)=0,"",IF(NOT(AND(ISNUMBER(B48),B48&gt;0,B48=INT(B48))),"Revisar: falta fecha",IF(COUNTIFS($B$14:$B$75,B48)&gt;1,"Revisar: fecha duplicada",IF(NOT(AND(ISNUMBER(C48),C48&gt;=0,ISNUMBER(D48),D48&gt;=0,D48=INT(D48),ISNUMBER(E48),E48&gt;=0,E48=INT(E48),ISNUMBER(F48),F48&gt;=0)),"Revisar: falta dato",IF(AND(C48&gt;0,OR(D48=0,E48=0)),"Revisar: cuentas o personas","OK")))))</x:f>
      </x:c>
    </x:row>
    <x:row r="49" ht="24" customHeight="1">
      <x:c r="A49" s="3"/>
      <x:c r="B49" s="25"/>
      <x:c r="C49" s="38"/>
      <x:c r="D49" s="39"/>
      <x:c r="E49" s="39"/>
      <x:c r="F49" s="38"/>
      <x:c r="G49" s="16" t="str">
        <x:f>IF(COUNTA(B49:F49)=0,"",IF(J49&lt;&gt;"OK","Revisar datos",IF(D49=0,"Sin tickets",C49/D49)))</x:f>
      </x:c>
      <x:c r="H49" s="16" t="str">
        <x:f>IF(COUNTA(B49:F49)=0,"",IF(J49&lt;&gt;"OK","Revisar datos",IF(E49=0,"Sin comensales",C49/E49)))</x:f>
      </x:c>
      <x:c r="I49" s="16" t="str">
        <x:f>IF(COUNTA(B49:F49)=0,"",IF(J49&lt;&gt;"OK","Revisar datos",C49-F49))</x:f>
      </x:c>
      <x:c r="J49" s="40" t="str">
        <x:f>IF(COUNTA(B49:F49)=0,"",IF(NOT(AND(ISNUMBER(B49),B49&gt;0,B49=INT(B49))),"Revisar: falta fecha",IF(COUNTIFS($B$14:$B$75,B49)&gt;1,"Revisar: fecha duplicada",IF(NOT(AND(ISNUMBER(C49),C49&gt;=0,ISNUMBER(D49),D49&gt;=0,D49=INT(D49),ISNUMBER(E49),E49&gt;=0,E49=INT(E49),ISNUMBER(F49),F49&gt;=0)),"Revisar: falta dato",IF(AND(C49&gt;0,OR(D49=0,E49=0)),"Revisar: cuentas o personas","OK")))))</x:f>
      </x:c>
    </x:row>
    <x:row r="50" ht="24" customHeight="1">
      <x:c r="A50" s="3"/>
      <x:c r="B50" s="25"/>
      <x:c r="C50" s="38"/>
      <x:c r="D50" s="39"/>
      <x:c r="E50" s="39"/>
      <x:c r="F50" s="38"/>
      <x:c r="G50" s="16" t="str">
        <x:f>IF(COUNTA(B50:F50)=0,"",IF(J50&lt;&gt;"OK","Revisar datos",IF(D50=0,"Sin tickets",C50/D50)))</x:f>
      </x:c>
      <x:c r="H50" s="16" t="str">
        <x:f>IF(COUNTA(B50:F50)=0,"",IF(J50&lt;&gt;"OK","Revisar datos",IF(E50=0,"Sin comensales",C50/E50)))</x:f>
      </x:c>
      <x:c r="I50" s="16" t="str">
        <x:f>IF(COUNTA(B50:F50)=0,"",IF(J50&lt;&gt;"OK","Revisar datos",C50-F50))</x:f>
      </x:c>
      <x:c r="J50" s="40" t="str">
        <x:f>IF(COUNTA(B50:F50)=0,"",IF(NOT(AND(ISNUMBER(B50),B50&gt;0,B50=INT(B50))),"Revisar: falta fecha",IF(COUNTIFS($B$14:$B$75,B50)&gt;1,"Revisar: fecha duplicada",IF(NOT(AND(ISNUMBER(C50),C50&gt;=0,ISNUMBER(D50),D50&gt;=0,D50=INT(D50),ISNUMBER(E50),E50&gt;=0,E50=INT(E50),ISNUMBER(F50),F50&gt;=0)),"Revisar: falta dato",IF(AND(C50&gt;0,OR(D50=0,E50=0)),"Revisar: cuentas o personas","OK")))))</x:f>
      </x:c>
    </x:row>
    <x:row r="51" ht="24" customHeight="1">
      <x:c r="A51" s="3"/>
      <x:c r="B51" s="25"/>
      <x:c r="C51" s="38"/>
      <x:c r="D51" s="39"/>
      <x:c r="E51" s="39"/>
      <x:c r="F51" s="38"/>
      <x:c r="G51" s="16" t="str">
        <x:f>IF(COUNTA(B51:F51)=0,"",IF(J51&lt;&gt;"OK","Revisar datos",IF(D51=0,"Sin tickets",C51/D51)))</x:f>
      </x:c>
      <x:c r="H51" s="16" t="str">
        <x:f>IF(COUNTA(B51:F51)=0,"",IF(J51&lt;&gt;"OK","Revisar datos",IF(E51=0,"Sin comensales",C51/E51)))</x:f>
      </x:c>
      <x:c r="I51" s="16" t="str">
        <x:f>IF(COUNTA(B51:F51)=0,"",IF(J51&lt;&gt;"OK","Revisar datos",C51-F51))</x:f>
      </x:c>
      <x:c r="J51" s="40" t="str">
        <x:f>IF(COUNTA(B51:F51)=0,"",IF(NOT(AND(ISNUMBER(B51),B51&gt;0,B51=INT(B51))),"Revisar: falta fecha",IF(COUNTIFS($B$14:$B$75,B51)&gt;1,"Revisar: fecha duplicada",IF(NOT(AND(ISNUMBER(C51),C51&gt;=0,ISNUMBER(D51),D51&gt;=0,D51=INT(D51),ISNUMBER(E51),E51&gt;=0,E51=INT(E51),ISNUMBER(F51),F51&gt;=0)),"Revisar: falta dato",IF(AND(C51&gt;0,OR(D51=0,E51=0)),"Revisar: cuentas o personas","OK")))))</x:f>
      </x:c>
    </x:row>
    <x:row r="52" ht="24" customHeight="1">
      <x:c r="A52" s="3"/>
      <x:c r="B52" s="25"/>
      <x:c r="C52" s="38"/>
      <x:c r="D52" s="39"/>
      <x:c r="E52" s="39"/>
      <x:c r="F52" s="38"/>
      <x:c r="G52" s="16" t="str">
        <x:f>IF(COUNTA(B52:F52)=0,"",IF(J52&lt;&gt;"OK","Revisar datos",IF(D52=0,"Sin tickets",C52/D52)))</x:f>
      </x:c>
      <x:c r="H52" s="16" t="str">
        <x:f>IF(COUNTA(B52:F52)=0,"",IF(J52&lt;&gt;"OK","Revisar datos",IF(E52=0,"Sin comensales",C52/E52)))</x:f>
      </x:c>
      <x:c r="I52" s="16" t="str">
        <x:f>IF(COUNTA(B52:F52)=0,"",IF(J52&lt;&gt;"OK","Revisar datos",C52-F52))</x:f>
      </x:c>
      <x:c r="J52" s="40" t="str">
        <x:f>IF(COUNTA(B52:F52)=0,"",IF(NOT(AND(ISNUMBER(B52),B52&gt;0,B52=INT(B52))),"Revisar: falta fecha",IF(COUNTIFS($B$14:$B$75,B52)&gt;1,"Revisar: fecha duplicada",IF(NOT(AND(ISNUMBER(C52),C52&gt;=0,ISNUMBER(D52),D52&gt;=0,D52=INT(D52),ISNUMBER(E52),E52&gt;=0,E52=INT(E52),ISNUMBER(F52),F52&gt;=0)),"Revisar: falta dato",IF(AND(C52&gt;0,OR(D52=0,E52=0)),"Revisar: cuentas o personas","OK")))))</x:f>
      </x:c>
    </x:row>
    <x:row r="53" ht="24" customHeight="1">
      <x:c r="A53" s="3"/>
      <x:c r="B53" s="25"/>
      <x:c r="C53" s="38"/>
      <x:c r="D53" s="39"/>
      <x:c r="E53" s="39"/>
      <x:c r="F53" s="38"/>
      <x:c r="G53" s="16" t="str">
        <x:f>IF(COUNTA(B53:F53)=0,"",IF(J53&lt;&gt;"OK","Revisar datos",IF(D53=0,"Sin tickets",C53/D53)))</x:f>
      </x:c>
      <x:c r="H53" s="16" t="str">
        <x:f>IF(COUNTA(B53:F53)=0,"",IF(J53&lt;&gt;"OK","Revisar datos",IF(E53=0,"Sin comensales",C53/E53)))</x:f>
      </x:c>
      <x:c r="I53" s="16" t="str">
        <x:f>IF(COUNTA(B53:F53)=0,"",IF(J53&lt;&gt;"OK","Revisar datos",C53-F53))</x:f>
      </x:c>
      <x:c r="J53" s="40" t="str">
        <x:f>IF(COUNTA(B53:F53)=0,"",IF(NOT(AND(ISNUMBER(B53),B53&gt;0,B53=INT(B53))),"Revisar: falta fecha",IF(COUNTIFS($B$14:$B$75,B53)&gt;1,"Revisar: fecha duplicada",IF(NOT(AND(ISNUMBER(C53),C53&gt;=0,ISNUMBER(D53),D53&gt;=0,D53=INT(D53),ISNUMBER(E53),E53&gt;=0,E53=INT(E53),ISNUMBER(F53),F53&gt;=0)),"Revisar: falta dato",IF(AND(C53&gt;0,OR(D53=0,E53=0)),"Revisar: cuentas o personas","OK")))))</x:f>
      </x:c>
    </x:row>
    <x:row r="54" ht="24" customHeight="1">
      <x:c r="A54" s="3"/>
      <x:c r="B54" s="25"/>
      <x:c r="C54" s="38"/>
      <x:c r="D54" s="39"/>
      <x:c r="E54" s="39"/>
      <x:c r="F54" s="38"/>
      <x:c r="G54" s="16" t="str">
        <x:f>IF(COUNTA(B54:F54)=0,"",IF(J54&lt;&gt;"OK","Revisar datos",IF(D54=0,"Sin tickets",C54/D54)))</x:f>
      </x:c>
      <x:c r="H54" s="16" t="str">
        <x:f>IF(COUNTA(B54:F54)=0,"",IF(J54&lt;&gt;"OK","Revisar datos",IF(E54=0,"Sin comensales",C54/E54)))</x:f>
      </x:c>
      <x:c r="I54" s="16" t="str">
        <x:f>IF(COUNTA(B54:F54)=0,"",IF(J54&lt;&gt;"OK","Revisar datos",C54-F54))</x:f>
      </x:c>
      <x:c r="J54" s="40" t="str">
        <x:f>IF(COUNTA(B54:F54)=0,"",IF(NOT(AND(ISNUMBER(B54),B54&gt;0,B54=INT(B54))),"Revisar: falta fecha",IF(COUNTIFS($B$14:$B$75,B54)&gt;1,"Revisar: fecha duplicada",IF(NOT(AND(ISNUMBER(C54),C54&gt;=0,ISNUMBER(D54),D54&gt;=0,D54=INT(D54),ISNUMBER(E54),E54&gt;=0,E54=INT(E54),ISNUMBER(F54),F54&gt;=0)),"Revisar: falta dato",IF(AND(C54&gt;0,OR(D54=0,E54=0)),"Revisar: cuentas o personas","OK")))))</x:f>
      </x:c>
    </x:row>
    <x:row r="55" ht="24" customHeight="1">
      <x:c r="A55" s="3"/>
      <x:c r="B55" s="25"/>
      <x:c r="C55" s="38"/>
      <x:c r="D55" s="39"/>
      <x:c r="E55" s="39"/>
      <x:c r="F55" s="38"/>
      <x:c r="G55" s="16" t="str">
        <x:f>IF(COUNTA(B55:F55)=0,"",IF(J55&lt;&gt;"OK","Revisar datos",IF(D55=0,"Sin tickets",C55/D55)))</x:f>
      </x:c>
      <x:c r="H55" s="16" t="str">
        <x:f>IF(COUNTA(B55:F55)=0,"",IF(J55&lt;&gt;"OK","Revisar datos",IF(E55=0,"Sin comensales",C55/E55)))</x:f>
      </x:c>
      <x:c r="I55" s="16" t="str">
        <x:f>IF(COUNTA(B55:F55)=0,"",IF(J55&lt;&gt;"OK","Revisar datos",C55-F55))</x:f>
      </x:c>
      <x:c r="J55" s="40" t="str">
        <x:f>IF(COUNTA(B55:F55)=0,"",IF(NOT(AND(ISNUMBER(B55),B55&gt;0,B55=INT(B55))),"Revisar: falta fecha",IF(COUNTIFS($B$14:$B$75,B55)&gt;1,"Revisar: fecha duplicada",IF(NOT(AND(ISNUMBER(C55),C55&gt;=0,ISNUMBER(D55),D55&gt;=0,D55=INT(D55),ISNUMBER(E55),E55&gt;=0,E55=INT(E55),ISNUMBER(F55),F55&gt;=0)),"Revisar: falta dato",IF(AND(C55&gt;0,OR(D55=0,E55=0)),"Revisar: cuentas o personas","OK")))))</x:f>
      </x:c>
    </x:row>
    <x:row r="56" ht="24" customHeight="1">
      <x:c r="A56" s="3"/>
      <x:c r="B56" s="25"/>
      <x:c r="C56" s="38"/>
      <x:c r="D56" s="39"/>
      <x:c r="E56" s="39"/>
      <x:c r="F56" s="38"/>
      <x:c r="G56" s="16" t="str">
        <x:f>IF(COUNTA(B56:F56)=0,"",IF(J56&lt;&gt;"OK","Revisar datos",IF(D56=0,"Sin tickets",C56/D56)))</x:f>
      </x:c>
      <x:c r="H56" s="16" t="str">
        <x:f>IF(COUNTA(B56:F56)=0,"",IF(J56&lt;&gt;"OK","Revisar datos",IF(E56=0,"Sin comensales",C56/E56)))</x:f>
      </x:c>
      <x:c r="I56" s="16" t="str">
        <x:f>IF(COUNTA(B56:F56)=0,"",IF(J56&lt;&gt;"OK","Revisar datos",C56-F56))</x:f>
      </x:c>
      <x:c r="J56" s="40" t="str">
        <x:f>IF(COUNTA(B56:F56)=0,"",IF(NOT(AND(ISNUMBER(B56),B56&gt;0,B56=INT(B56))),"Revisar: falta fecha",IF(COUNTIFS($B$14:$B$75,B56)&gt;1,"Revisar: fecha duplicada",IF(NOT(AND(ISNUMBER(C56),C56&gt;=0,ISNUMBER(D56),D56&gt;=0,D56=INT(D56),ISNUMBER(E56),E56&gt;=0,E56=INT(E56),ISNUMBER(F56),F56&gt;=0)),"Revisar: falta dato",IF(AND(C56&gt;0,OR(D56=0,E56=0)),"Revisar: cuentas o personas","OK")))))</x:f>
      </x:c>
    </x:row>
    <x:row r="57" ht="24" customHeight="1">
      <x:c r="A57" s="3"/>
      <x:c r="B57" s="25"/>
      <x:c r="C57" s="38"/>
      <x:c r="D57" s="39"/>
      <x:c r="E57" s="39"/>
      <x:c r="F57" s="38"/>
      <x:c r="G57" s="16" t="str">
        <x:f>IF(COUNTA(B57:F57)=0,"",IF(J57&lt;&gt;"OK","Revisar datos",IF(D57=0,"Sin tickets",C57/D57)))</x:f>
      </x:c>
      <x:c r="H57" s="16" t="str">
        <x:f>IF(COUNTA(B57:F57)=0,"",IF(J57&lt;&gt;"OK","Revisar datos",IF(E57=0,"Sin comensales",C57/E57)))</x:f>
      </x:c>
      <x:c r="I57" s="16" t="str">
        <x:f>IF(COUNTA(B57:F57)=0,"",IF(J57&lt;&gt;"OK","Revisar datos",C57-F57))</x:f>
      </x:c>
      <x:c r="J57" s="40" t="str">
        <x:f>IF(COUNTA(B57:F57)=0,"",IF(NOT(AND(ISNUMBER(B57),B57&gt;0,B57=INT(B57))),"Revisar: falta fecha",IF(COUNTIFS($B$14:$B$75,B57)&gt;1,"Revisar: fecha duplicada",IF(NOT(AND(ISNUMBER(C57),C57&gt;=0,ISNUMBER(D57),D57&gt;=0,D57=INT(D57),ISNUMBER(E57),E57&gt;=0,E57=INT(E57),ISNUMBER(F57),F57&gt;=0)),"Revisar: falta dato",IF(AND(C57&gt;0,OR(D57=0,E57=0)),"Revisar: cuentas o personas","OK")))))</x:f>
      </x:c>
    </x:row>
    <x:row r="58" ht="24" customHeight="1">
      <x:c r="A58" s="3"/>
      <x:c r="B58" s="25"/>
      <x:c r="C58" s="38"/>
      <x:c r="D58" s="39"/>
      <x:c r="E58" s="39"/>
      <x:c r="F58" s="38"/>
      <x:c r="G58" s="16" t="str">
        <x:f>IF(COUNTA(B58:F58)=0,"",IF(J58&lt;&gt;"OK","Revisar datos",IF(D58=0,"Sin tickets",C58/D58)))</x:f>
      </x:c>
      <x:c r="H58" s="16" t="str">
        <x:f>IF(COUNTA(B58:F58)=0,"",IF(J58&lt;&gt;"OK","Revisar datos",IF(E58=0,"Sin comensales",C58/E58)))</x:f>
      </x:c>
      <x:c r="I58" s="16" t="str">
        <x:f>IF(COUNTA(B58:F58)=0,"",IF(J58&lt;&gt;"OK","Revisar datos",C58-F58))</x:f>
      </x:c>
      <x:c r="J58" s="40" t="str">
        <x:f>IF(COUNTA(B58:F58)=0,"",IF(NOT(AND(ISNUMBER(B58),B58&gt;0,B58=INT(B58))),"Revisar: falta fecha",IF(COUNTIFS($B$14:$B$75,B58)&gt;1,"Revisar: fecha duplicada",IF(NOT(AND(ISNUMBER(C58),C58&gt;=0,ISNUMBER(D58),D58&gt;=0,D58=INT(D58),ISNUMBER(E58),E58&gt;=0,E58=INT(E58),ISNUMBER(F58),F58&gt;=0)),"Revisar: falta dato",IF(AND(C58&gt;0,OR(D58=0,E58=0)),"Revisar: cuentas o personas","OK")))))</x:f>
      </x:c>
    </x:row>
    <x:row r="59" ht="24" customHeight="1">
      <x:c r="A59" s="3"/>
      <x:c r="B59" s="25"/>
      <x:c r="C59" s="38"/>
      <x:c r="D59" s="39"/>
      <x:c r="E59" s="39"/>
      <x:c r="F59" s="38"/>
      <x:c r="G59" s="16" t="str">
        <x:f>IF(COUNTA(B59:F59)=0,"",IF(J59&lt;&gt;"OK","Revisar datos",IF(D59=0,"Sin tickets",C59/D59)))</x:f>
      </x:c>
      <x:c r="H59" s="16" t="str">
        <x:f>IF(COUNTA(B59:F59)=0,"",IF(J59&lt;&gt;"OK","Revisar datos",IF(E59=0,"Sin comensales",C59/E59)))</x:f>
      </x:c>
      <x:c r="I59" s="16" t="str">
        <x:f>IF(COUNTA(B59:F59)=0,"",IF(J59&lt;&gt;"OK","Revisar datos",C59-F59))</x:f>
      </x:c>
      <x:c r="J59" s="40" t="str">
        <x:f>IF(COUNTA(B59:F59)=0,"",IF(NOT(AND(ISNUMBER(B59),B59&gt;0,B59=INT(B59))),"Revisar: falta fecha",IF(COUNTIFS($B$14:$B$75,B59)&gt;1,"Revisar: fecha duplicada",IF(NOT(AND(ISNUMBER(C59),C59&gt;=0,ISNUMBER(D59),D59&gt;=0,D59=INT(D59),ISNUMBER(E59),E59&gt;=0,E59=INT(E59),ISNUMBER(F59),F59&gt;=0)),"Revisar: falta dato",IF(AND(C59&gt;0,OR(D59=0,E59=0)),"Revisar: cuentas o personas","OK")))))</x:f>
      </x:c>
    </x:row>
    <x:row r="60" ht="24" customHeight="1">
      <x:c r="A60" s="3"/>
      <x:c r="B60" s="25"/>
      <x:c r="C60" s="38"/>
      <x:c r="D60" s="39"/>
      <x:c r="E60" s="39"/>
      <x:c r="F60" s="38"/>
      <x:c r="G60" s="16" t="str">
        <x:f>IF(COUNTA(B60:F60)=0,"",IF(J60&lt;&gt;"OK","Revisar datos",IF(D60=0,"Sin tickets",C60/D60)))</x:f>
      </x:c>
      <x:c r="H60" s="16" t="str">
        <x:f>IF(COUNTA(B60:F60)=0,"",IF(J60&lt;&gt;"OK","Revisar datos",IF(E60=0,"Sin comensales",C60/E60)))</x:f>
      </x:c>
      <x:c r="I60" s="16" t="str">
        <x:f>IF(COUNTA(B60:F60)=0,"",IF(J60&lt;&gt;"OK","Revisar datos",C60-F60))</x:f>
      </x:c>
      <x:c r="J60" s="40" t="str">
        <x:f>IF(COUNTA(B60:F60)=0,"",IF(NOT(AND(ISNUMBER(B60),B60&gt;0,B60=INT(B60))),"Revisar: falta fecha",IF(COUNTIFS($B$14:$B$75,B60)&gt;1,"Revisar: fecha duplicada",IF(NOT(AND(ISNUMBER(C60),C60&gt;=0,ISNUMBER(D60),D60&gt;=0,D60=INT(D60),ISNUMBER(E60),E60&gt;=0,E60=INT(E60),ISNUMBER(F60),F60&gt;=0)),"Revisar: falta dato",IF(AND(C60&gt;0,OR(D60=0,E60=0)),"Revisar: cuentas o personas","OK")))))</x:f>
      </x:c>
    </x:row>
    <x:row r="61" ht="24" customHeight="1">
      <x:c r="A61" s="3"/>
      <x:c r="B61" s="25"/>
      <x:c r="C61" s="38"/>
      <x:c r="D61" s="39"/>
      <x:c r="E61" s="39"/>
      <x:c r="F61" s="38"/>
      <x:c r="G61" s="16" t="str">
        <x:f>IF(COUNTA(B61:F61)=0,"",IF(J61&lt;&gt;"OK","Revisar datos",IF(D61=0,"Sin tickets",C61/D61)))</x:f>
      </x:c>
      <x:c r="H61" s="16" t="str">
        <x:f>IF(COUNTA(B61:F61)=0,"",IF(J61&lt;&gt;"OK","Revisar datos",IF(E61=0,"Sin comensales",C61/E61)))</x:f>
      </x:c>
      <x:c r="I61" s="16" t="str">
        <x:f>IF(COUNTA(B61:F61)=0,"",IF(J61&lt;&gt;"OK","Revisar datos",C61-F61))</x:f>
      </x:c>
      <x:c r="J61" s="40" t="str">
        <x:f>IF(COUNTA(B61:F61)=0,"",IF(NOT(AND(ISNUMBER(B61),B61&gt;0,B61=INT(B61))),"Revisar: falta fecha",IF(COUNTIFS($B$14:$B$75,B61)&gt;1,"Revisar: fecha duplicada",IF(NOT(AND(ISNUMBER(C61),C61&gt;=0,ISNUMBER(D61),D61&gt;=0,D61=INT(D61),ISNUMBER(E61),E61&gt;=0,E61=INT(E61),ISNUMBER(F61),F61&gt;=0)),"Revisar: falta dato",IF(AND(C61&gt;0,OR(D61=0,E61=0)),"Revisar: cuentas o personas","OK")))))</x:f>
      </x:c>
    </x:row>
    <x:row r="62" ht="24" customHeight="1">
      <x:c r="A62" s="3"/>
      <x:c r="B62" s="25"/>
      <x:c r="C62" s="38"/>
      <x:c r="D62" s="39"/>
      <x:c r="E62" s="39"/>
      <x:c r="F62" s="38"/>
      <x:c r="G62" s="16" t="str">
        <x:f>IF(COUNTA(B62:F62)=0,"",IF(J62&lt;&gt;"OK","Revisar datos",IF(D62=0,"Sin tickets",C62/D62)))</x:f>
      </x:c>
      <x:c r="H62" s="16" t="str">
        <x:f>IF(COUNTA(B62:F62)=0,"",IF(J62&lt;&gt;"OK","Revisar datos",IF(E62=0,"Sin comensales",C62/E62)))</x:f>
      </x:c>
      <x:c r="I62" s="16" t="str">
        <x:f>IF(COUNTA(B62:F62)=0,"",IF(J62&lt;&gt;"OK","Revisar datos",C62-F62))</x:f>
      </x:c>
      <x:c r="J62" s="40" t="str">
        <x:f>IF(COUNTA(B62:F62)=0,"",IF(NOT(AND(ISNUMBER(B62),B62&gt;0,B62=INT(B62))),"Revisar: falta fecha",IF(COUNTIFS($B$14:$B$75,B62)&gt;1,"Revisar: fecha duplicada",IF(NOT(AND(ISNUMBER(C62),C62&gt;=0,ISNUMBER(D62),D62&gt;=0,D62=INT(D62),ISNUMBER(E62),E62&gt;=0,E62=INT(E62),ISNUMBER(F62),F62&gt;=0)),"Revisar: falta dato",IF(AND(C62&gt;0,OR(D62=0,E62=0)),"Revisar: cuentas o personas","OK")))))</x:f>
      </x:c>
    </x:row>
    <x:row r="63" ht="24" customHeight="1">
      <x:c r="A63" s="3"/>
      <x:c r="B63" s="25"/>
      <x:c r="C63" s="38"/>
      <x:c r="D63" s="39"/>
      <x:c r="E63" s="39"/>
      <x:c r="F63" s="38"/>
      <x:c r="G63" s="16" t="str">
        <x:f>IF(COUNTA(B63:F63)=0,"",IF(J63&lt;&gt;"OK","Revisar datos",IF(D63=0,"Sin tickets",C63/D63)))</x:f>
      </x:c>
      <x:c r="H63" s="16" t="str">
        <x:f>IF(COUNTA(B63:F63)=0,"",IF(J63&lt;&gt;"OK","Revisar datos",IF(E63=0,"Sin comensales",C63/E63)))</x:f>
      </x:c>
      <x:c r="I63" s="16" t="str">
        <x:f>IF(COUNTA(B63:F63)=0,"",IF(J63&lt;&gt;"OK","Revisar datos",C63-F63))</x:f>
      </x:c>
      <x:c r="J63" s="40" t="str">
        <x:f>IF(COUNTA(B63:F63)=0,"",IF(NOT(AND(ISNUMBER(B63),B63&gt;0,B63=INT(B63))),"Revisar: falta fecha",IF(COUNTIFS($B$14:$B$75,B63)&gt;1,"Revisar: fecha duplicada",IF(NOT(AND(ISNUMBER(C63),C63&gt;=0,ISNUMBER(D63),D63&gt;=0,D63=INT(D63),ISNUMBER(E63),E63&gt;=0,E63=INT(E63),ISNUMBER(F63),F63&gt;=0)),"Revisar: falta dato",IF(AND(C63&gt;0,OR(D63=0,E63=0)),"Revisar: cuentas o personas","OK")))))</x:f>
      </x:c>
    </x:row>
    <x:row r="64" ht="24" customHeight="1">
      <x:c r="A64" s="3"/>
      <x:c r="B64" s="25"/>
      <x:c r="C64" s="38"/>
      <x:c r="D64" s="39"/>
      <x:c r="E64" s="39"/>
      <x:c r="F64" s="38"/>
      <x:c r="G64" s="16" t="str">
        <x:f>IF(COUNTA(B64:F64)=0,"",IF(J64&lt;&gt;"OK","Revisar datos",IF(D64=0,"Sin tickets",C64/D64)))</x:f>
      </x:c>
      <x:c r="H64" s="16" t="str">
        <x:f>IF(COUNTA(B64:F64)=0,"",IF(J64&lt;&gt;"OK","Revisar datos",IF(E64=0,"Sin comensales",C64/E64)))</x:f>
      </x:c>
      <x:c r="I64" s="16" t="str">
        <x:f>IF(COUNTA(B64:F64)=0,"",IF(J64&lt;&gt;"OK","Revisar datos",C64-F64))</x:f>
      </x:c>
      <x:c r="J64" s="40" t="str">
        <x:f>IF(COUNTA(B64:F64)=0,"",IF(NOT(AND(ISNUMBER(B64),B64&gt;0,B64=INT(B64))),"Revisar: falta fecha",IF(COUNTIFS($B$14:$B$75,B64)&gt;1,"Revisar: fecha duplicada",IF(NOT(AND(ISNUMBER(C64),C64&gt;=0,ISNUMBER(D64),D64&gt;=0,D64=INT(D64),ISNUMBER(E64),E64&gt;=0,E64=INT(E64),ISNUMBER(F64),F64&gt;=0)),"Revisar: falta dato",IF(AND(C64&gt;0,OR(D64=0,E64=0)),"Revisar: cuentas o personas","OK")))))</x:f>
      </x:c>
    </x:row>
    <x:row r="65" ht="24" customHeight="1">
      <x:c r="A65" s="3"/>
      <x:c r="B65" s="25"/>
      <x:c r="C65" s="38"/>
      <x:c r="D65" s="39"/>
      <x:c r="E65" s="39"/>
      <x:c r="F65" s="38"/>
      <x:c r="G65" s="16" t="str">
        <x:f>IF(COUNTA(B65:F65)=0,"",IF(J65&lt;&gt;"OK","Revisar datos",IF(D65=0,"Sin tickets",C65/D65)))</x:f>
      </x:c>
      <x:c r="H65" s="16" t="str">
        <x:f>IF(COUNTA(B65:F65)=0,"",IF(J65&lt;&gt;"OK","Revisar datos",IF(E65=0,"Sin comensales",C65/E65)))</x:f>
      </x:c>
      <x:c r="I65" s="16" t="str">
        <x:f>IF(COUNTA(B65:F65)=0,"",IF(J65&lt;&gt;"OK","Revisar datos",C65-F65))</x:f>
      </x:c>
      <x:c r="J65" s="40" t="str">
        <x:f>IF(COUNTA(B65:F65)=0,"",IF(NOT(AND(ISNUMBER(B65),B65&gt;0,B65=INT(B65))),"Revisar: falta fecha",IF(COUNTIFS($B$14:$B$75,B65)&gt;1,"Revisar: fecha duplicada",IF(NOT(AND(ISNUMBER(C65),C65&gt;=0,ISNUMBER(D65),D65&gt;=0,D65=INT(D65),ISNUMBER(E65),E65&gt;=0,E65=INT(E65),ISNUMBER(F65),F65&gt;=0)),"Revisar: falta dato",IF(AND(C65&gt;0,OR(D65=0,E65=0)),"Revisar: cuentas o personas","OK")))))</x:f>
      </x:c>
    </x:row>
    <x:row r="66" ht="24" customHeight="1">
      <x:c r="A66" s="3"/>
      <x:c r="B66" s="25"/>
      <x:c r="C66" s="38"/>
      <x:c r="D66" s="39"/>
      <x:c r="E66" s="39"/>
      <x:c r="F66" s="38"/>
      <x:c r="G66" s="16" t="str">
        <x:f>IF(COUNTA(B66:F66)=0,"",IF(J66&lt;&gt;"OK","Revisar datos",IF(D66=0,"Sin tickets",C66/D66)))</x:f>
      </x:c>
      <x:c r="H66" s="16" t="str">
        <x:f>IF(COUNTA(B66:F66)=0,"",IF(J66&lt;&gt;"OK","Revisar datos",IF(E66=0,"Sin comensales",C66/E66)))</x:f>
      </x:c>
      <x:c r="I66" s="16" t="str">
        <x:f>IF(COUNTA(B66:F66)=0,"",IF(J66&lt;&gt;"OK","Revisar datos",C66-F66))</x:f>
      </x:c>
      <x:c r="J66" s="40" t="str">
        <x:f>IF(COUNTA(B66:F66)=0,"",IF(NOT(AND(ISNUMBER(B66),B66&gt;0,B66=INT(B66))),"Revisar: falta fecha",IF(COUNTIFS($B$14:$B$75,B66)&gt;1,"Revisar: fecha duplicada",IF(NOT(AND(ISNUMBER(C66),C66&gt;=0,ISNUMBER(D66),D66&gt;=0,D66=INT(D66),ISNUMBER(E66),E66&gt;=0,E66=INT(E66),ISNUMBER(F66),F66&gt;=0)),"Revisar: falta dato",IF(AND(C66&gt;0,OR(D66=0,E66=0)),"Revisar: cuentas o personas","OK")))))</x:f>
      </x:c>
    </x:row>
    <x:row r="67" ht="24" customHeight="1">
      <x:c r="A67" s="3"/>
      <x:c r="B67" s="25"/>
      <x:c r="C67" s="38"/>
      <x:c r="D67" s="39"/>
      <x:c r="E67" s="39"/>
      <x:c r="F67" s="38"/>
      <x:c r="G67" s="16" t="str">
        <x:f>IF(COUNTA(B67:F67)=0,"",IF(J67&lt;&gt;"OK","Revisar datos",IF(D67=0,"Sin tickets",C67/D67)))</x:f>
      </x:c>
      <x:c r="H67" s="16" t="str">
        <x:f>IF(COUNTA(B67:F67)=0,"",IF(J67&lt;&gt;"OK","Revisar datos",IF(E67=0,"Sin comensales",C67/E67)))</x:f>
      </x:c>
      <x:c r="I67" s="16" t="str">
        <x:f>IF(COUNTA(B67:F67)=0,"",IF(J67&lt;&gt;"OK","Revisar datos",C67-F67))</x:f>
      </x:c>
      <x:c r="J67" s="40" t="str">
        <x:f>IF(COUNTA(B67:F67)=0,"",IF(NOT(AND(ISNUMBER(B67),B67&gt;0,B67=INT(B67))),"Revisar: falta fecha",IF(COUNTIFS($B$14:$B$75,B67)&gt;1,"Revisar: fecha duplicada",IF(NOT(AND(ISNUMBER(C67),C67&gt;=0,ISNUMBER(D67),D67&gt;=0,D67=INT(D67),ISNUMBER(E67),E67&gt;=0,E67=INT(E67),ISNUMBER(F67),F67&gt;=0)),"Revisar: falta dato",IF(AND(C67&gt;0,OR(D67=0,E67=0)),"Revisar: cuentas o personas","OK")))))</x:f>
      </x:c>
    </x:row>
    <x:row r="68" ht="24" customHeight="1">
      <x:c r="A68" s="3"/>
      <x:c r="B68" s="25"/>
      <x:c r="C68" s="38"/>
      <x:c r="D68" s="39"/>
      <x:c r="E68" s="39"/>
      <x:c r="F68" s="38"/>
      <x:c r="G68" s="16" t="str">
        <x:f>IF(COUNTA(B68:F68)=0,"",IF(J68&lt;&gt;"OK","Revisar datos",IF(D68=0,"Sin tickets",C68/D68)))</x:f>
      </x:c>
      <x:c r="H68" s="16" t="str">
        <x:f>IF(COUNTA(B68:F68)=0,"",IF(J68&lt;&gt;"OK","Revisar datos",IF(E68=0,"Sin comensales",C68/E68)))</x:f>
      </x:c>
      <x:c r="I68" s="16" t="str">
        <x:f>IF(COUNTA(B68:F68)=0,"",IF(J68&lt;&gt;"OK","Revisar datos",C68-F68))</x:f>
      </x:c>
      <x:c r="J68" s="40" t="str">
        <x:f>IF(COUNTA(B68:F68)=0,"",IF(NOT(AND(ISNUMBER(B68),B68&gt;0,B68=INT(B68))),"Revisar: falta fecha",IF(COUNTIFS($B$14:$B$75,B68)&gt;1,"Revisar: fecha duplicada",IF(NOT(AND(ISNUMBER(C68),C68&gt;=0,ISNUMBER(D68),D68&gt;=0,D68=INT(D68),ISNUMBER(E68),E68&gt;=0,E68=INT(E68),ISNUMBER(F68),F68&gt;=0)),"Revisar: falta dato",IF(AND(C68&gt;0,OR(D68=0,E68=0)),"Revisar: cuentas o personas","OK")))))</x:f>
      </x:c>
    </x:row>
    <x:row r="69" ht="24" customHeight="1">
      <x:c r="A69" s="3"/>
      <x:c r="B69" s="25"/>
      <x:c r="C69" s="38"/>
      <x:c r="D69" s="39"/>
      <x:c r="E69" s="39"/>
      <x:c r="F69" s="38"/>
      <x:c r="G69" s="16" t="str">
        <x:f>IF(COUNTA(B69:F69)=0,"",IF(J69&lt;&gt;"OK","Revisar datos",IF(D69=0,"Sin tickets",C69/D69)))</x:f>
      </x:c>
      <x:c r="H69" s="16" t="str">
        <x:f>IF(COUNTA(B69:F69)=0,"",IF(J69&lt;&gt;"OK","Revisar datos",IF(E69=0,"Sin comensales",C69/E69)))</x:f>
      </x:c>
      <x:c r="I69" s="16" t="str">
        <x:f>IF(COUNTA(B69:F69)=0,"",IF(J69&lt;&gt;"OK","Revisar datos",C69-F69))</x:f>
      </x:c>
      <x:c r="J69" s="40" t="str">
        <x:f>IF(COUNTA(B69:F69)=0,"",IF(NOT(AND(ISNUMBER(B69),B69&gt;0,B69=INT(B69))),"Revisar: falta fecha",IF(COUNTIFS($B$14:$B$75,B69)&gt;1,"Revisar: fecha duplicada",IF(NOT(AND(ISNUMBER(C69),C69&gt;=0,ISNUMBER(D69),D69&gt;=0,D69=INT(D69),ISNUMBER(E69),E69&gt;=0,E69=INT(E69),ISNUMBER(F69),F69&gt;=0)),"Revisar: falta dato",IF(AND(C69&gt;0,OR(D69=0,E69=0)),"Revisar: cuentas o personas","OK")))))</x:f>
      </x:c>
    </x:row>
    <x:row r="70" ht="24" customHeight="1">
      <x:c r="A70" s="3"/>
      <x:c r="B70" s="25"/>
      <x:c r="C70" s="38"/>
      <x:c r="D70" s="39"/>
      <x:c r="E70" s="39"/>
      <x:c r="F70" s="38"/>
      <x:c r="G70" s="16" t="str">
        <x:f>IF(COUNTA(B70:F70)=0,"",IF(J70&lt;&gt;"OK","Revisar datos",IF(D70=0,"Sin tickets",C70/D70)))</x:f>
      </x:c>
      <x:c r="H70" s="16" t="str">
        <x:f>IF(COUNTA(B70:F70)=0,"",IF(J70&lt;&gt;"OK","Revisar datos",IF(E70=0,"Sin comensales",C70/E70)))</x:f>
      </x:c>
      <x:c r="I70" s="16" t="str">
        <x:f>IF(COUNTA(B70:F70)=0,"",IF(J70&lt;&gt;"OK","Revisar datos",C70-F70))</x:f>
      </x:c>
      <x:c r="J70" s="40" t="str">
        <x:f>IF(COUNTA(B70:F70)=0,"",IF(NOT(AND(ISNUMBER(B70),B70&gt;0,B70=INT(B70))),"Revisar: falta fecha",IF(COUNTIFS($B$14:$B$75,B70)&gt;1,"Revisar: fecha duplicada",IF(NOT(AND(ISNUMBER(C70),C70&gt;=0,ISNUMBER(D70),D70&gt;=0,D70=INT(D70),ISNUMBER(E70),E70&gt;=0,E70=INT(E70),ISNUMBER(F70),F70&gt;=0)),"Revisar: falta dato",IF(AND(C70&gt;0,OR(D70=0,E70=0)),"Revisar: cuentas o personas","OK")))))</x:f>
      </x:c>
    </x:row>
    <x:row r="71" ht="24" customHeight="1">
      <x:c r="A71" s="3"/>
      <x:c r="B71" s="25"/>
      <x:c r="C71" s="38"/>
      <x:c r="D71" s="39"/>
      <x:c r="E71" s="39"/>
      <x:c r="F71" s="38"/>
      <x:c r="G71" s="16" t="str">
        <x:f>IF(COUNTA(B71:F71)=0,"",IF(J71&lt;&gt;"OK","Revisar datos",IF(D71=0,"Sin tickets",C71/D71)))</x:f>
      </x:c>
      <x:c r="H71" s="16" t="str">
        <x:f>IF(COUNTA(B71:F71)=0,"",IF(J71&lt;&gt;"OK","Revisar datos",IF(E71=0,"Sin comensales",C71/E71)))</x:f>
      </x:c>
      <x:c r="I71" s="16" t="str">
        <x:f>IF(COUNTA(B71:F71)=0,"",IF(J71&lt;&gt;"OK","Revisar datos",C71-F71))</x:f>
      </x:c>
      <x:c r="J71" s="40" t="str">
        <x:f>IF(COUNTA(B71:F71)=0,"",IF(NOT(AND(ISNUMBER(B71),B71&gt;0,B71=INT(B71))),"Revisar: falta fecha",IF(COUNTIFS($B$14:$B$75,B71)&gt;1,"Revisar: fecha duplicada",IF(NOT(AND(ISNUMBER(C71),C71&gt;=0,ISNUMBER(D71),D71&gt;=0,D71=INT(D71),ISNUMBER(E71),E71&gt;=0,E71=INT(E71),ISNUMBER(F71),F71&gt;=0)),"Revisar: falta dato",IF(AND(C71&gt;0,OR(D71=0,E71=0)),"Revisar: cuentas o personas","OK")))))</x:f>
      </x:c>
    </x:row>
    <x:row r="72" ht="24" customHeight="1">
      <x:c r="A72" s="3"/>
      <x:c r="B72" s="25"/>
      <x:c r="C72" s="38"/>
      <x:c r="D72" s="39"/>
      <x:c r="E72" s="39"/>
      <x:c r="F72" s="38"/>
      <x:c r="G72" s="16" t="str">
        <x:f>IF(COUNTA(B72:F72)=0,"",IF(J72&lt;&gt;"OK","Revisar datos",IF(D72=0,"Sin tickets",C72/D72)))</x:f>
      </x:c>
      <x:c r="H72" s="16" t="str">
        <x:f>IF(COUNTA(B72:F72)=0,"",IF(J72&lt;&gt;"OK","Revisar datos",IF(E72=0,"Sin comensales",C72/E72)))</x:f>
      </x:c>
      <x:c r="I72" s="16" t="str">
        <x:f>IF(COUNTA(B72:F72)=0,"",IF(J72&lt;&gt;"OK","Revisar datos",C72-F72))</x:f>
      </x:c>
      <x:c r="J72" s="40" t="str">
        <x:f>IF(COUNTA(B72:F72)=0,"",IF(NOT(AND(ISNUMBER(B72),B72&gt;0,B72=INT(B72))),"Revisar: falta fecha",IF(COUNTIFS($B$14:$B$75,B72)&gt;1,"Revisar: fecha duplicada",IF(NOT(AND(ISNUMBER(C72),C72&gt;=0,ISNUMBER(D72),D72&gt;=0,D72=INT(D72),ISNUMBER(E72),E72&gt;=0,E72=INT(E72),ISNUMBER(F72),F72&gt;=0)),"Revisar: falta dato",IF(AND(C72&gt;0,OR(D72=0,E72=0)),"Revisar: cuentas o personas","OK")))))</x:f>
      </x:c>
    </x:row>
    <x:row r="73" ht="24" customHeight="1">
      <x:c r="A73" s="3"/>
      <x:c r="B73" s="25"/>
      <x:c r="C73" s="38"/>
      <x:c r="D73" s="39"/>
      <x:c r="E73" s="39"/>
      <x:c r="F73" s="38"/>
      <x:c r="G73" s="16" t="str">
        <x:f>IF(COUNTA(B73:F73)=0,"",IF(J73&lt;&gt;"OK","Revisar datos",IF(D73=0,"Sin tickets",C73/D73)))</x:f>
      </x:c>
      <x:c r="H73" s="16" t="str">
        <x:f>IF(COUNTA(B73:F73)=0,"",IF(J73&lt;&gt;"OK","Revisar datos",IF(E73=0,"Sin comensales",C73/E73)))</x:f>
      </x:c>
      <x:c r="I73" s="16" t="str">
        <x:f>IF(COUNTA(B73:F73)=0,"",IF(J73&lt;&gt;"OK","Revisar datos",C73-F73))</x:f>
      </x:c>
      <x:c r="J73" s="40" t="str">
        <x:f>IF(COUNTA(B73:F73)=0,"",IF(NOT(AND(ISNUMBER(B73),B73&gt;0,B73=INT(B73))),"Revisar: falta fecha",IF(COUNTIFS($B$14:$B$75,B73)&gt;1,"Revisar: fecha duplicada",IF(NOT(AND(ISNUMBER(C73),C73&gt;=0,ISNUMBER(D73),D73&gt;=0,D73=INT(D73),ISNUMBER(E73),E73&gt;=0,E73=INT(E73),ISNUMBER(F73),F73&gt;=0)),"Revisar: falta dato",IF(AND(C73&gt;0,OR(D73=0,E73=0)),"Revisar: cuentas o personas","OK")))))</x:f>
      </x:c>
    </x:row>
    <x:row r="74" ht="24" customHeight="1">
      <x:c r="A74" s="3"/>
      <x:c r="B74" s="25"/>
      <x:c r="C74" s="38"/>
      <x:c r="D74" s="39"/>
      <x:c r="E74" s="39"/>
      <x:c r="F74" s="38"/>
      <x:c r="G74" s="16" t="str">
        <x:f>IF(COUNTA(B74:F74)=0,"",IF(J74&lt;&gt;"OK","Revisar datos",IF(D74=0,"Sin tickets",C74/D74)))</x:f>
      </x:c>
      <x:c r="H74" s="16" t="str">
        <x:f>IF(COUNTA(B74:F74)=0,"",IF(J74&lt;&gt;"OK","Revisar datos",IF(E74=0,"Sin comensales",C74/E74)))</x:f>
      </x:c>
      <x:c r="I74" s="16" t="str">
        <x:f>IF(COUNTA(B74:F74)=0,"",IF(J74&lt;&gt;"OK","Revisar datos",C74-F74))</x:f>
      </x:c>
      <x:c r="J74" s="40" t="str">
        <x:f>IF(COUNTA(B74:F74)=0,"",IF(NOT(AND(ISNUMBER(B74),B74&gt;0,B74=INT(B74))),"Revisar: falta fecha",IF(COUNTIFS($B$14:$B$75,B74)&gt;1,"Revisar: fecha duplicada",IF(NOT(AND(ISNUMBER(C74),C74&gt;=0,ISNUMBER(D74),D74&gt;=0,D74=INT(D74),ISNUMBER(E74),E74&gt;=0,E74=INT(E74),ISNUMBER(F74),F74&gt;=0)),"Revisar: falta dato",IF(AND(C74&gt;0,OR(D74=0,E74=0)),"Revisar: cuentas o personas","OK")))))</x:f>
      </x:c>
    </x:row>
    <x:row r="75" ht="24" customHeight="1">
      <x:c r="A75" s="3"/>
      <x:c r="B75" s="25"/>
      <x:c r="C75" s="38"/>
      <x:c r="D75" s="39"/>
      <x:c r="E75" s="39"/>
      <x:c r="F75" s="38"/>
      <x:c r="G75" s="16" t="str">
        <x:f>IF(COUNTA(B75:F75)=0,"",IF(J75&lt;&gt;"OK","Revisar datos",IF(D75=0,"Sin tickets",C75/D75)))</x:f>
      </x:c>
      <x:c r="H75" s="16" t="str">
        <x:f>IF(COUNTA(B75:F75)=0,"",IF(J75&lt;&gt;"OK","Revisar datos",IF(E75=0,"Sin comensales",C75/E75)))</x:f>
      </x:c>
      <x:c r="I75" s="16" t="str">
        <x:f>IF(COUNTA(B75:F75)=0,"",IF(J75&lt;&gt;"OK","Revisar datos",C75-F75))</x:f>
      </x:c>
      <x:c r="J75" s="40" t="str">
        <x:f>IF(COUNTA(B75:F75)=0,"",IF(NOT(AND(ISNUMBER(B75),B75&gt;0,B75=INT(B75))),"Revisar: falta fecha",IF(COUNTIFS($B$14:$B$75,B75)&gt;1,"Revisar: fecha duplicada",IF(NOT(AND(ISNUMBER(C75),C75&gt;=0,ISNUMBER(D75),D75&gt;=0,D75=INT(D75),ISNUMBER(E75),E75&gt;=0,E75=INT(E75),ISNUMBER(F75),F75&gt;=0)),"Revisar: falta dato",IF(AND(C75&gt;0,OR(D75=0,E75=0)),"Revisar: cuentas o personas","OK")))))</x:f>
      </x:c>
    </x:row>
    <x:row r="76" ht="24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</x:row>
    <x:row r="77" ht="24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</x:row>
    <x:row r="78" ht="24" customHeight="1">
      <x:c r="A78" s="3"/>
      <x:c r="B78" s="5" t="str">
        <x:v>Costo variable: ingredientes, empaque y comisiones del mismo cierre. No lo repitas como costo fijo.</x:v>
      </x:c>
      <x:c r="C78" s="5"/>
      <x:c r="D78" s="5"/>
      <x:c r="E78" s="5"/>
      <x:c r="F78" s="5"/>
      <x:c r="G78" s="5"/>
      <x:c r="H78" s="5"/>
      <x:c r="I78" s="5"/>
      <x:c r="J78" s="5"/>
    </x:row>
    <x:row r="79" ht="24" customHeight="1">
      <x:c r="A79" s="3"/>
      <x:c r="B79" s="5" t="str">
        <x:v>Registra 0 para un día sin ventas. Deja vacía la fila sin usar. Una sola fila por fecha.</x:v>
      </x:c>
      <x:c r="C79" s="5"/>
      <x:c r="D79" s="5"/>
      <x:c r="E79" s="5"/>
      <x:c r="F79" s="5"/>
      <x:c r="G79" s="5"/>
      <x:c r="H79" s="5"/>
      <x:c r="I79" s="5"/>
      <x:c r="J79" s="5"/>
    </x:row>
    <x:row r="80" ht="24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</x:row>
    <x:row r="81" ht="24" customHeight="1">
      <x:c r="A81" s="3"/>
      <x:c r="B81" s="10" t="str">
        <x:v>Volver al resumen</x:v>
      </x:c>
      <x:c r="C81" s="3"/>
      <x:c r="D81" s="3"/>
      <x:c r="E81" s="3"/>
      <x:c r="F81" s="3"/>
      <x:c r="G81" s="3"/>
      <x:c r="H81" s="3"/>
      <x:c r="I81" s="3"/>
      <x:c r="J81" s="3"/>
    </x:row>
  </x:sheetData>
  <x:conditionalFormatting sqref="G14:J75">
    <x:cfRule type="containsText" dxfId="1" priority="1" operator="containsText" text="Revisar"/>
  </x:conditionalFormatting>
  <x:conditionalFormatting sqref="I14:I75">
    <x:cfRule type="cellIs" dxfId="2" priority="2" operator="lessThan">
      <x:formula>0</x:formula>
    </x:cfRule>
  </x:conditionalFormatting>
  <x:dataValidations count="3">
    <x:dataValidation type="decimal" operator="between" sqref="C14:C75">
      <x:formula1>0</x:formula1>
      <x:formula2>100000000</x:formula2>
    </x:dataValidation>
    <x:dataValidation type="decimal" operator="between" sqref="F14:F75">
      <x:formula1>0</x:formula1>
      <x:formula2>100000000</x:formula2>
    </x:dataValidation>
    <x:dataValidation type="whole" operator="between" sqref="D14:E75">
      <x:formula1>0</x:formula1>
      <x:formula2>100000</x:formula2>
    </x:dataValidation>
  </x:dataValidations>
  <x:hyperlinks>
    <x:hyperlink ref="B81" location="'Resumen'!A1" display="Volver al resumen"/>
  </x:hyperlinks>
  <x:pageMargins left="0.7" right="0.7" top="0.75" bottom="0.75" header="0.3" footer="0.3"/>
  <x:drawing xmlns:r="http://schemas.openxmlformats.org/officeDocument/2006/relationships" r:id="R2ca3c967b3f44eff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tabColor rgb="FF285D4C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3" hidden="0" customWidth="1"/>
    <x:col min="2" max="2" width="12" hidden="0" customWidth="1"/>
    <x:col min="3" max="3" width="23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4" hidden="0" customWidth="1"/>
    <x:col min="11" max="11" width="14" hidden="0" customWidth="1"/>
    <x:col min="12" max="12" width="19" hidden="0" customWidth="1"/>
    <x:col min="13" max="13" width="19" hidden="0" customWidth="1"/>
    <x:col min="14" max="14" width="18" hidden="0" customWidth="1"/>
    <x:col min="15" max="15" width="27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3"/>
      <x:c r="B2" s="4" t="str">
        <x:v>Inventario y reposición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3"/>
      <x:c r="B3" s="5" t="str">
        <x:v>Unidad constante por insumo. Existencia = inicial + entradas − salidas − mermas.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</x:row>
    <x:row r="6" ht="24" customHeight="1">
      <x:c r="A6" s="3"/>
      <x:c r="B6" s="3" t="str">
        <x:v>Valor estimado a costo unitario</x:v>
      </x:c>
      <x:c r="C6" s="3"/>
      <x:c r="D6" s="3"/>
      <x:c r="E6" s="3"/>
      <x:c r="F6" s="3"/>
      <x:c r="G6" s="3" t="str">
        <x:v>Insumos por reponer</x:v>
      </x:c>
      <x:c r="H6" s="3"/>
      <x:c r="I6" s="3"/>
      <x:c r="J6" s="3"/>
      <x:c r="K6" s="3" t="str">
        <x:v>Registros por revisar</x:v>
      </x:c>
      <x:c r="L6" s="3"/>
      <x:c r="M6" s="3"/>
      <x:c r="N6" s="3"/>
      <x:c r="O6" s="3"/>
    </x:row>
    <x:row r="7" ht="24" customHeight="1">
      <x:c r="A7" s="3"/>
      <x:c r="B7" s="3"/>
      <x:c r="C7" s="3"/>
      <x:c r="D7" s="26" t="n">
        <x:f>IF(OR((COUNTIFS(O14:O43,"Revisar: completar datos")+COUNTIFS(O14:O43,"Revisar: código duplicado")+COUNTIFS(O14:O43,"Revisar: movimientos")+COUNTIFS(O14:O43,"Revisar: stock negativo"))&gt;0,'Movimientos'!$K$7&gt;0),"Revisar datos",IF(COUNTA(B14:B43)=0,"Sin insumos",SUM(M14:M43)))</x:f>
        <x:v>923.6</x:v>
      </x:c>
      <x:c r="E7" s="3"/>
      <x:c r="F7" s="3"/>
      <x:c r="G7" s="3"/>
      <x:c r="H7" s="4" t="n">
        <x:f>COUNTIFS(O14:O43,"Reponer")</x:f>
        <x:v>3</x:v>
      </x:c>
      <x:c r="I7" s="3"/>
      <x:c r="J7" s="3"/>
      <x:c r="K7" s="3"/>
      <x:c r="L7" s="3"/>
      <x:c r="M7" s="4" t="n">
        <x:f>(COUNTIFS(O14:O43,"Revisar: completar datos")+COUNTIFS(O14:O43,"Revisar: código duplicado")+COUNTIFS(O14:O43,"Revisar: movimientos")+COUNTIFS(O14:O43,"Revisar: stock negativo"))</x:f>
        <x:v>0</x:v>
      </x:c>
      <x:c r="N7" s="3"/>
      <x:c r="O7" s="3"/>
    </x:row>
    <x:row r="8" ht="24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ht="24" customHeight="1">
      <x:c r="A9" s="3"/>
      <x:c r="B9" s="5" t="str">
        <x:v>1. Registra insumos y stock inicial en amarillo. 2. Captura cada compra, uso o merma en Movimientos.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ht="24" customHeight="1">
      <x:c r="A10" s="3"/>
      <x:c r="B10" s="5" t="str">
        <x:v>Mínimo: dispara reposición. Objetivo: nivel al que quieres volver. Costo unitario: referencia editable.</x:v>
      </x:c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ht="24" customHeight="1">
      <x:c r="A11" s="3"/>
      <x:c r="B11" s="5" t="str">
        <x:v>Ejemplos didácticos. Usa kg, g, l, ml o pza; no mezcles unidades para el mismo código.</x:v>
      </x:c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44" customHeight="1">
      <x:c r="A13" s="3"/>
      <x:c r="B13" s="35" t="str">
        <x:v>Código único</x:v>
      </x:c>
      <x:c r="C13" s="36" t="str">
        <x:v>Insumo</x:v>
      </x:c>
      <x:c r="D13" s="36" t="str">
        <x:v>Unidad base</x:v>
      </x:c>
      <x:c r="E13" s="36" t="str">
        <x:v>Inicial</x:v>
      </x:c>
      <x:c r="F13" s="36" t="str">
        <x:v>Entradas</x:v>
      </x:c>
      <x:c r="G13" s="36" t="str">
        <x:v>Salidas</x:v>
      </x:c>
      <x:c r="H13" s="36" t="str">
        <x:v>Mermas</x:v>
      </x:c>
      <x:c r="I13" s="36" t="str">
        <x:v>Disponible</x:v>
      </x:c>
      <x:c r="J13" s="36" t="str">
        <x:v>Mínimo</x:v>
      </x:c>
      <x:c r="K13" s="36" t="str">
        <x:v>Objetivo</x:v>
      </x:c>
      <x:c r="L13" s="36" t="str">
        <x:v>Costo por unidad</x:v>
      </x:c>
      <x:c r="M13" s="36" t="str">
        <x:v>Valor estimado</x:v>
      </x:c>
      <x:c r="N13" s="36" t="str">
        <x:v>Comprar</x:v>
      </x:c>
      <x:c r="O13" s="37" t="str">
        <x:v>Estado</x:v>
      </x:c>
    </x:row>
    <x:row r="14" ht="24" customHeight="1">
      <x:c r="A14" s="3"/>
      <x:c r="B14" s="24" t="str">
        <x:v>VEG01</x:v>
      </x:c>
      <x:c r="C14" s="24" t="str">
        <x:v>Tomate</x:v>
      </x:c>
      <x:c r="D14" s="24" t="str">
        <x:v>kg</x:v>
      </x:c>
      <x:c r="E14" s="41" t="n">
        <x:v>12</x:v>
      </x:c>
      <x:c r="F14" s="42" t="n">
        <x:f>IF(AND(COUNTA(B14:E14)=0,COUNTA(J14:L14)=0),"",IF(B14="","Revisar datos",SUMIFS('Movimientos'!$F$14:$F$163,'Movimientos'!$C$14:$C$163,B14,'Movimientos'!$E$14:$E$163,"Entrada",'Movimientos'!$K$14:$K$163,"OK")))</x:f>
        <x:v>10</x:v>
      </x:c>
      <x:c r="G14" s="42" t="n">
        <x:f>IF(AND(COUNTA(B14:E14)=0,COUNTA(J14:L14)=0),"",IF(B14="","Revisar datos",SUMIFS('Movimientos'!$F$14:$F$163,'Movimientos'!$C$14:$C$163,B14,'Movimientos'!$E$14:$E$163,"Salida",'Movimientos'!$K$14:$K$163,"OK")))</x:f>
        <x:v>15</x:v>
      </x:c>
      <x:c r="H14" s="42" t="n">
        <x:f>IF(AND(COUNTA(B14:E14)=0,COUNTA(J14:L14)=0),"",IF(B14="","Revisar datos",SUMIFS('Movimientos'!$F$14:$F$163,'Movimientos'!$C$14:$C$163,B14,'Movimientos'!$E$14:$E$163,"Merma",'Movimientos'!$K$14:$K$163,"OK")))</x:f>
        <x:v>0</x:v>
      </x:c>
      <x:c r="I14" s="42" t="n">
        <x:f>IF(AND(COUNTA(B14:E14)=0,COUNTA(J14:L14)=0),"",IF(AND(AND(B14&lt;&gt;"",C14&lt;&gt;"",OR(D14="kg",D14="g",D14="l",D14="ml",D14="pza"),ISNUMBER(E14),E14&gt;=0,ISNUMBER(J14),J14&gt;=0,ISNUMBER(K14),K14&gt;=J14,ISNUMBER(L14),L14&gt;=0),COUNTIFS($B$14:$B$43,B14)=1,(COUNTIFS('Movimientos'!$C$14:$C$163,B14)-COUNTIFS('Movimientos'!$C$14:$C$163,B14,'Movimientos'!$K$14:$K$163,"OK"))=0),E14+F14-G14-H14,"Revisar datos"))</x:f>
        <x:v>7</x:v>
      </x:c>
      <x:c r="J14" s="41" t="n">
        <x:v>4</x:v>
      </x:c>
      <x:c r="K14" s="41" t="n">
        <x:v>15</x:v>
      </x:c>
      <x:c r="L14" s="38" t="n">
        <x:v>28</x:v>
      </x:c>
      <x:c r="M14" s="16" t="n">
        <x:f>IF(AND(COUNTA(B14:E14)=0,COUNTA(J14:L14)=0),"",IF(AND(ISNUMBER(I14),I14&gt;=0),I14*L14,"Revisar datos"))</x:f>
        <x:v>196</x:v>
      </x:c>
      <x:c r="N14" s="42" t="n">
        <x:f>IF(AND(COUNTA(B14:E14)=0,COUNTA(J14:L14)=0),"",IF(AND(ISNUMBER(I14),I14&gt;=0),IF(I14&lt;=J14,MAX(0,K14-I14),0),"Revisar datos"))</x:f>
        <x:v>0</x:v>
      </x:c>
      <x:c r="O14" s="40" t="str">
        <x:f>IF(AND(COUNTA(B14:E14)=0,COUNTA(J14:L14)=0),"",IF(NOT(AND(B14&lt;&gt;"",C14&lt;&gt;"",OR(D14="kg",D14="g",D14="l",D14="ml",D14="pza"),ISNUMBER(E14),E14&gt;=0,ISNUMBER(J14),J14&gt;=0,ISNUMBER(K14),K14&gt;=J14,ISNUMBER(L14),L14&gt;=0)),"Revisar: completar datos",IF(COUNTIFS($B$14:$B$43,B14)&gt;1,"Revisar: código duplicado",IF((COUNTIFS('Movimientos'!$C$14:$C$163,B14)-COUNTIFS('Movimientos'!$C$14:$C$163,B14,'Movimientos'!$K$14:$K$163,"OK"))&gt;0,"Revisar: movimientos",IF(I14&lt;0,"Revisar: stock negativo",IF(I14&lt;=J14,"Reponer","Disponible"))))))</x:f>
        <x:v>Disponible</x:v>
      </x:c>
    </x:row>
    <x:row r="15" ht="24" customHeight="1">
      <x:c r="A15" s="3"/>
      <x:c r="B15" s="24" t="str">
        <x:v>VEG02</x:v>
      </x:c>
      <x:c r="C15" s="24" t="str">
        <x:v>Lechuga</x:v>
      </x:c>
      <x:c r="D15" s="24" t="str">
        <x:v>kg</x:v>
      </x:c>
      <x:c r="E15" s="41" t="n">
        <x:v>6</x:v>
      </x:c>
      <x:c r="F15" s="42" t="n">
        <x:f>IF(AND(COUNTA(B15:E15)=0,COUNTA(J15:L15)=0),"",IF(B15="","Revisar datos",SUMIFS('Movimientos'!$F$14:$F$163,'Movimientos'!$C$14:$C$163,B15,'Movimientos'!$E$14:$E$163,"Entrada",'Movimientos'!$K$14:$K$163,"OK")))</x:f>
        <x:v>0</x:v>
      </x:c>
      <x:c r="G15" s="42" t="n">
        <x:f>IF(AND(COUNTA(B15:E15)=0,COUNTA(J15:L15)=0),"",IF(B15="","Revisar datos",SUMIFS('Movimientos'!$F$14:$F$163,'Movimientos'!$C$14:$C$163,B15,'Movimientos'!$E$14:$E$163,"Salida",'Movimientos'!$K$14:$K$163,"OK")))</x:f>
        <x:v>5</x:v>
      </x:c>
      <x:c r="H15" s="42" t="n">
        <x:f>IF(AND(COUNTA(B15:E15)=0,COUNTA(J15:L15)=0),"",IF(B15="","Revisar datos",SUMIFS('Movimientos'!$F$14:$F$163,'Movimientos'!$C$14:$C$163,B15,'Movimientos'!$E$14:$E$163,"Merma",'Movimientos'!$K$14:$K$163,"OK")))</x:f>
        <x:v>0.2</x:v>
      </x:c>
      <x:c r="I15" s="42" t="n">
        <x:f>IF(AND(COUNTA(B15:E15)=0,COUNTA(J15:L15)=0),"",IF(AND(AND(B15&lt;&gt;"",C15&lt;&gt;"",OR(D15="kg",D15="g",D15="l",D15="ml",D15="pza"),ISNUMBER(E15),E15&gt;=0,ISNUMBER(J15),J15&gt;=0,ISNUMBER(K15),K15&gt;=J15,ISNUMBER(L15),L15&gt;=0),COUNTIFS($B$14:$B$43,B15)=1,(COUNTIFS('Movimientos'!$C$14:$C$163,B15)-COUNTIFS('Movimientos'!$C$14:$C$163,B15,'Movimientos'!$K$14:$K$163,"OK"))=0),E15+F15-G15-H15,"Revisar datos"))</x:f>
        <x:v>0.8</x:v>
      </x:c>
      <x:c r="J15" s="41" t="n">
        <x:v>2</x:v>
      </x:c>
      <x:c r="K15" s="41" t="n">
        <x:v>8</x:v>
      </x:c>
      <x:c r="L15" s="38" t="n">
        <x:v>32</x:v>
      </x:c>
      <x:c r="M15" s="16" t="n">
        <x:f>IF(AND(COUNTA(B15:E15)=0,COUNTA(J15:L15)=0),"",IF(AND(ISNUMBER(I15),I15&gt;=0),I15*L15,"Revisar datos"))</x:f>
        <x:v>25.6</x:v>
      </x:c>
      <x:c r="N15" s="42" t="n">
        <x:f>IF(AND(COUNTA(B15:E15)=0,COUNTA(J15:L15)=0),"",IF(AND(ISNUMBER(I15),I15&gt;=0),IF(I15&lt;=J15,MAX(0,K15-I15),0),"Revisar datos"))</x:f>
        <x:v>7.2</x:v>
      </x:c>
      <x:c r="O15" s="40" t="str">
        <x:f>IF(AND(COUNTA(B15:E15)=0,COUNTA(J15:L15)=0),"",IF(NOT(AND(B15&lt;&gt;"",C15&lt;&gt;"",OR(D15="kg",D15="g",D15="l",D15="ml",D15="pza"),ISNUMBER(E15),E15&gt;=0,ISNUMBER(J15),J15&gt;=0,ISNUMBER(K15),K15&gt;=J15,ISNUMBER(L15),L15&gt;=0)),"Revisar: completar datos",IF(COUNTIFS($B$14:$B$43,B15)&gt;1,"Revisar: código duplicado",IF((COUNTIFS('Movimientos'!$C$14:$C$163,B15)-COUNTIFS('Movimientos'!$C$14:$C$163,B15,'Movimientos'!$K$14:$K$163,"OK"))&gt;0,"Revisar: movimientos",IF(I15&lt;0,"Revisar: stock negativo",IF(I15&lt;=J15,"Reponer","Disponible"))))))</x:f>
        <x:v>Reponer</x:v>
      </x:c>
    </x:row>
    <x:row r="16" ht="24" customHeight="1">
      <x:c r="A16" s="3"/>
      <x:c r="B16" s="24" t="str">
        <x:v>VEG03</x:v>
      </x:c>
      <x:c r="C16" s="24" t="str">
        <x:v>Champiñones</x:v>
      </x:c>
      <x:c r="D16" s="24" t="str">
        <x:v>kg</x:v>
      </x:c>
      <x:c r="E16" s="41" t="n">
        <x:v>3</x:v>
      </x:c>
      <x:c r="F16" s="42" t="n">
        <x:f>IF(AND(COUNTA(B16:E16)=0,COUNTA(J16:L16)=0),"",IF(B16="","Revisar datos",SUMIFS('Movimientos'!$F$14:$F$163,'Movimientos'!$C$14:$C$163,B16,'Movimientos'!$E$14:$E$163,"Entrada",'Movimientos'!$K$14:$K$163,"OK")))</x:f>
        <x:v>0</x:v>
      </x:c>
      <x:c r="G16" s="42" t="n">
        <x:f>IF(AND(COUNTA(B16:E16)=0,COUNTA(J16:L16)=0),"",IF(B16="","Revisar datos",SUMIFS('Movimientos'!$F$14:$F$163,'Movimientos'!$C$14:$C$163,B16,'Movimientos'!$E$14:$E$163,"Salida",'Movimientos'!$K$14:$K$163,"OK")))</x:f>
        <x:v>2.5</x:v>
      </x:c>
      <x:c r="H16" s="42" t="n">
        <x:f>IF(AND(COUNTA(B16:E16)=0,COUNTA(J16:L16)=0),"",IF(B16="","Revisar datos",SUMIFS('Movimientos'!$F$14:$F$163,'Movimientos'!$C$14:$C$163,B16,'Movimientos'!$E$14:$E$163,"Merma",'Movimientos'!$K$14:$K$163,"OK")))</x:f>
        <x:v>0</x:v>
      </x:c>
      <x:c r="I16" s="42" t="n">
        <x:f>IF(AND(COUNTA(B16:E16)=0,COUNTA(J16:L16)=0),"",IF(AND(AND(B16&lt;&gt;"",C16&lt;&gt;"",OR(D16="kg",D16="g",D16="l",D16="ml",D16="pza"),ISNUMBER(E16),E16&gt;=0,ISNUMBER(J16),J16&gt;=0,ISNUMBER(K16),K16&gt;=J16,ISNUMBER(L16),L16&gt;=0),COUNTIFS($B$14:$B$43,B16)=1,(COUNTIFS('Movimientos'!$C$14:$C$163,B16)-COUNTIFS('Movimientos'!$C$14:$C$163,B16,'Movimientos'!$K$14:$K$163,"OK"))=0),E16+F16-G16-H16,"Revisar datos"))</x:f>
        <x:v>0.5</x:v>
      </x:c>
      <x:c r="J16" s="41" t="n">
        <x:v>1</x:v>
      </x:c>
      <x:c r="K16" s="41" t="n">
        <x:v>5</x:v>
      </x:c>
      <x:c r="L16" s="38" t="n">
        <x:v>120</x:v>
      </x:c>
      <x:c r="M16" s="16" t="n">
        <x:f>IF(AND(COUNTA(B16:E16)=0,COUNTA(J16:L16)=0),"",IF(AND(ISNUMBER(I16),I16&gt;=0),I16*L16,"Revisar datos"))</x:f>
        <x:v>60</x:v>
      </x:c>
      <x:c r="N16" s="42" t="n">
        <x:f>IF(AND(COUNTA(B16:E16)=0,COUNTA(J16:L16)=0),"",IF(AND(ISNUMBER(I16),I16&gt;=0),IF(I16&lt;=J16,MAX(0,K16-I16),0),"Revisar datos"))</x:f>
        <x:v>4.5</x:v>
      </x:c>
      <x:c r="O16" s="40" t="str">
        <x:f>IF(AND(COUNTA(B16:E16)=0,COUNTA(J16:L16)=0),"",IF(NOT(AND(B16&lt;&gt;"",C16&lt;&gt;"",OR(D16="kg",D16="g",D16="l",D16="ml",D16="pza"),ISNUMBER(E16),E16&gt;=0,ISNUMBER(J16),J16&gt;=0,ISNUMBER(K16),K16&gt;=J16,ISNUMBER(L16),L16&gt;=0)),"Revisar: completar datos",IF(COUNTIFS($B$14:$B$43,B16)&gt;1,"Revisar: código duplicado",IF((COUNTIFS('Movimientos'!$C$14:$C$163,B16)-COUNTIFS('Movimientos'!$C$14:$C$163,B16,'Movimientos'!$K$14:$K$163,"OK"))&gt;0,"Revisar: movimientos",IF(I16&lt;0,"Revisar: stock negativo",IF(I16&lt;=J16,"Reponer","Disponible"))))))</x:f>
        <x:v>Reponer</x:v>
      </x:c>
    </x:row>
    <x:row r="17" ht="24" customHeight="1">
      <x:c r="A17" s="3"/>
      <x:c r="B17" s="24" t="str">
        <x:v>ABA01</x:v>
      </x:c>
      <x:c r="C17" s="24" t="str">
        <x:v>Arroz</x:v>
      </x:c>
      <x:c r="D17" s="24" t="str">
        <x:v>kg</x:v>
      </x:c>
      <x:c r="E17" s="41" t="n">
        <x:v>10</x:v>
      </x:c>
      <x:c r="F17" s="42" t="n">
        <x:f>IF(AND(COUNTA(B17:E17)=0,COUNTA(J17:L17)=0),"",IF(B17="","Revisar datos",SUMIFS('Movimientos'!$F$14:$F$163,'Movimientos'!$C$14:$C$163,B17,'Movimientos'!$E$14:$E$163,"Entrada",'Movimientos'!$K$14:$K$163,"OK")))</x:f>
        <x:v>0</x:v>
      </x:c>
      <x:c r="G17" s="42" t="n">
        <x:f>IF(AND(COUNTA(B17:E17)=0,COUNTA(J17:L17)=0),"",IF(B17="","Revisar datos",SUMIFS('Movimientos'!$F$14:$F$163,'Movimientos'!$C$14:$C$163,B17,'Movimientos'!$E$14:$E$163,"Salida",'Movimientos'!$K$14:$K$163,"OK")))</x:f>
        <x:v>4</x:v>
      </x:c>
      <x:c r="H17" s="42" t="n">
        <x:f>IF(AND(COUNTA(B17:E17)=0,COUNTA(J17:L17)=0),"",IF(B17="","Revisar datos",SUMIFS('Movimientos'!$F$14:$F$163,'Movimientos'!$C$14:$C$163,B17,'Movimientos'!$E$14:$E$163,"Merma",'Movimientos'!$K$14:$K$163,"OK")))</x:f>
        <x:v>0</x:v>
      </x:c>
      <x:c r="I17" s="42" t="n">
        <x:f>IF(AND(COUNTA(B17:E17)=0,COUNTA(J17:L17)=0),"",IF(AND(AND(B17&lt;&gt;"",C17&lt;&gt;"",OR(D17="kg",D17="g",D17="l",D17="ml",D17="pza"),ISNUMBER(E17),E17&gt;=0,ISNUMBER(J17),J17&gt;=0,ISNUMBER(K17),K17&gt;=J17,ISNUMBER(L17),L17&gt;=0),COUNTIFS($B$14:$B$43,B17)=1,(COUNTIFS('Movimientos'!$C$14:$C$163,B17)-COUNTIFS('Movimientos'!$C$14:$C$163,B17,'Movimientos'!$K$14:$K$163,"OK"))=0),E17+F17-G17-H17,"Revisar datos"))</x:f>
        <x:v>6</x:v>
      </x:c>
      <x:c r="J17" s="41" t="n">
        <x:v>3</x:v>
      </x:c>
      <x:c r="K17" s="41" t="n">
        <x:v>12</x:v>
      </x:c>
      <x:c r="L17" s="38" t="n">
        <x:v>36</x:v>
      </x:c>
      <x:c r="M17" s="16" t="n">
        <x:f>IF(AND(COUNTA(B17:E17)=0,COUNTA(J17:L17)=0),"",IF(AND(ISNUMBER(I17),I17&gt;=0),I17*L17,"Revisar datos"))</x:f>
        <x:v>216</x:v>
      </x:c>
      <x:c r="N17" s="42" t="n">
        <x:f>IF(AND(COUNTA(B17:E17)=0,COUNTA(J17:L17)=0),"",IF(AND(ISNUMBER(I17),I17&gt;=0),IF(I17&lt;=J17,MAX(0,K17-I17),0),"Revisar datos"))</x:f>
        <x:v>0</x:v>
      </x:c>
      <x:c r="O17" s="40" t="str">
        <x:f>IF(AND(COUNTA(B17:E17)=0,COUNTA(J17:L17)=0),"",IF(NOT(AND(B17&lt;&gt;"",C17&lt;&gt;"",OR(D17="kg",D17="g",D17="l",D17="ml",D17="pza"),ISNUMBER(E17),E17&gt;=0,ISNUMBER(J17),J17&gt;=0,ISNUMBER(K17),K17&gt;=J17,ISNUMBER(L17),L17&gt;=0)),"Revisar: completar datos",IF(COUNTIFS($B$14:$B$43,B17)&gt;1,"Revisar: código duplicado",IF((COUNTIFS('Movimientos'!$C$14:$C$163,B17)-COUNTIFS('Movimientos'!$C$14:$C$163,B17,'Movimientos'!$K$14:$K$163,"OK"))&gt;0,"Revisar: movimientos",IF(I17&lt;0,"Revisar: stock negativo",IF(I17&lt;=J17,"Reponer","Disponible"))))))</x:f>
        <x:v>Disponible</x:v>
      </x:c>
    </x:row>
    <x:row r="18" ht="24" customHeight="1">
      <x:c r="A18" s="3"/>
      <x:c r="B18" s="24" t="str">
        <x:v>ABA02</x:v>
      </x:c>
      <x:c r="C18" s="24" t="str">
        <x:v>Azúcar</x:v>
      </x:c>
      <x:c r="D18" s="24" t="str">
        <x:v>kg</x:v>
      </x:c>
      <x:c r="E18" s="41" t="n">
        <x:v>8</x:v>
      </x:c>
      <x:c r="F18" s="42" t="n">
        <x:f>IF(AND(COUNTA(B18:E18)=0,COUNTA(J18:L18)=0),"",IF(B18="","Revisar datos",SUMIFS('Movimientos'!$F$14:$F$163,'Movimientos'!$C$14:$C$163,B18,'Movimientos'!$E$14:$E$163,"Entrada",'Movimientos'!$K$14:$K$163,"OK")))</x:f>
        <x:v>0</x:v>
      </x:c>
      <x:c r="G18" s="42" t="n">
        <x:f>IF(AND(COUNTA(B18:E18)=0,COUNTA(J18:L18)=0),"",IF(B18="","Revisar datos",SUMIFS('Movimientos'!$F$14:$F$163,'Movimientos'!$C$14:$C$163,B18,'Movimientos'!$E$14:$E$163,"Salida",'Movimientos'!$K$14:$K$163,"OK")))</x:f>
        <x:v>3</x:v>
      </x:c>
      <x:c r="H18" s="42" t="n">
        <x:f>IF(AND(COUNTA(B18:E18)=0,COUNTA(J18:L18)=0),"",IF(B18="","Revisar datos",SUMIFS('Movimientos'!$F$14:$F$163,'Movimientos'!$C$14:$C$163,B18,'Movimientos'!$E$14:$E$163,"Merma",'Movimientos'!$K$14:$K$163,"OK")))</x:f>
        <x:v>0</x:v>
      </x:c>
      <x:c r="I18" s="42" t="n">
        <x:f>IF(AND(COUNTA(B18:E18)=0,COUNTA(J18:L18)=0),"",IF(AND(AND(B18&lt;&gt;"",C18&lt;&gt;"",OR(D18="kg",D18="g",D18="l",D18="ml",D18="pza"),ISNUMBER(E18),E18&gt;=0,ISNUMBER(J18),J18&gt;=0,ISNUMBER(K18),K18&gt;=J18,ISNUMBER(L18),L18&gt;=0),COUNTIFS($B$14:$B$43,B18)=1,(COUNTIFS('Movimientos'!$C$14:$C$163,B18)-COUNTIFS('Movimientos'!$C$14:$C$163,B18,'Movimientos'!$K$14:$K$163,"OK"))=0),E18+F18-G18-H18,"Revisar datos"))</x:f>
        <x:v>5</x:v>
      </x:c>
      <x:c r="J18" s="41" t="n">
        <x:v>2</x:v>
      </x:c>
      <x:c r="K18" s="41" t="n">
        <x:v>10</x:v>
      </x:c>
      <x:c r="L18" s="38" t="n">
        <x:v>30</x:v>
      </x:c>
      <x:c r="M18" s="16" t="n">
        <x:f>IF(AND(COUNTA(B18:E18)=0,COUNTA(J18:L18)=0),"",IF(AND(ISNUMBER(I18),I18&gt;=0),I18*L18,"Revisar datos"))</x:f>
        <x:v>150</x:v>
      </x:c>
      <x:c r="N18" s="42" t="n">
        <x:f>IF(AND(COUNTA(B18:E18)=0,COUNTA(J18:L18)=0),"",IF(AND(ISNUMBER(I18),I18&gt;=0),IF(I18&lt;=J18,MAX(0,K18-I18),0),"Revisar datos"))</x:f>
        <x:v>0</x:v>
      </x:c>
      <x:c r="O18" s="40" t="str">
        <x:f>IF(AND(COUNTA(B18:E18)=0,COUNTA(J18:L18)=0),"",IF(NOT(AND(B18&lt;&gt;"",C18&lt;&gt;"",OR(D18="kg",D18="g",D18="l",D18="ml",D18="pza"),ISNUMBER(E18),E18&gt;=0,ISNUMBER(J18),J18&gt;=0,ISNUMBER(K18),K18&gt;=J18,ISNUMBER(L18),L18&gt;=0)),"Revisar: completar datos",IF(COUNTIFS($B$14:$B$43,B18)&gt;1,"Revisar: código duplicado",IF((COUNTIFS('Movimientos'!$C$14:$C$163,B18)-COUNTIFS('Movimientos'!$C$14:$C$163,B18,'Movimientos'!$K$14:$K$163,"OK"))&gt;0,"Revisar: movimientos",IF(I18&lt;0,"Revisar: stock negativo",IF(I18&lt;=J18,"Reponer","Disponible"))))))</x:f>
        <x:v>Disponible</x:v>
      </x:c>
    </x:row>
    <x:row r="19" ht="24" customHeight="1">
      <x:c r="A19" s="3"/>
      <x:c r="B19" s="24" t="str">
        <x:v>BEB01</x:v>
      </x:c>
      <x:c r="C19" s="24" t="str">
        <x:v>Agua purificada</x:v>
      </x:c>
      <x:c r="D19" s="24" t="str">
        <x:v>l</x:v>
      </x:c>
      <x:c r="E19" s="41" t="n">
        <x:v>30</x:v>
      </x:c>
      <x:c r="F19" s="42" t="n">
        <x:f>IF(AND(COUNTA(B19:E19)=0,COUNTA(J19:L19)=0),"",IF(B19="","Revisar datos",SUMIFS('Movimientos'!$F$14:$F$163,'Movimientos'!$C$14:$C$163,B19,'Movimientos'!$E$14:$E$163,"Entrada",'Movimientos'!$K$14:$K$163,"OK")))</x:f>
        <x:v>20</x:v>
      </x:c>
      <x:c r="G19" s="42" t="n">
        <x:f>IF(AND(COUNTA(B19:E19)=0,COUNTA(J19:L19)=0),"",IF(B19="","Revisar datos",SUMIFS('Movimientos'!$F$14:$F$163,'Movimientos'!$C$14:$C$163,B19,'Movimientos'!$E$14:$E$163,"Salida",'Movimientos'!$K$14:$K$163,"OK")))</x:f>
        <x:v>38</x:v>
      </x:c>
      <x:c r="H19" s="42" t="n">
        <x:f>IF(AND(COUNTA(B19:E19)=0,COUNTA(J19:L19)=0),"",IF(B19="","Revisar datos",SUMIFS('Movimientos'!$F$14:$F$163,'Movimientos'!$C$14:$C$163,B19,'Movimientos'!$E$14:$E$163,"Merma",'Movimientos'!$K$14:$K$163,"OK")))</x:f>
        <x:v>0</x:v>
      </x:c>
      <x:c r="I19" s="42" t="n">
        <x:f>IF(AND(COUNTA(B19:E19)=0,COUNTA(J19:L19)=0),"",IF(AND(AND(B19&lt;&gt;"",C19&lt;&gt;"",OR(D19="kg",D19="g",D19="l",D19="ml",D19="pza"),ISNUMBER(E19),E19&gt;=0,ISNUMBER(J19),J19&gt;=0,ISNUMBER(K19),K19&gt;=J19,ISNUMBER(L19),L19&gt;=0),COUNTIFS($B$14:$B$43,B19)=1,(COUNTIFS('Movimientos'!$C$14:$C$163,B19)-COUNTIFS('Movimientos'!$C$14:$C$163,B19,'Movimientos'!$K$14:$K$163,"OK"))=0),E19+F19-G19-H19,"Revisar datos"))</x:f>
        <x:v>12</x:v>
      </x:c>
      <x:c r="J19" s="41" t="n">
        <x:v>10</x:v>
      </x:c>
      <x:c r="K19" s="41" t="n">
        <x:v>45</x:v>
      </x:c>
      <x:c r="L19" s="38" t="n">
        <x:v>2</x:v>
      </x:c>
      <x:c r="M19" s="16" t="n">
        <x:f>IF(AND(COUNTA(B19:E19)=0,COUNTA(J19:L19)=0),"",IF(AND(ISNUMBER(I19),I19&gt;=0),I19*L19,"Revisar datos"))</x:f>
        <x:v>24</x:v>
      </x:c>
      <x:c r="N19" s="42" t="n">
        <x:f>IF(AND(COUNTA(B19:E19)=0,COUNTA(J19:L19)=0),"",IF(AND(ISNUMBER(I19),I19&gt;=0),IF(I19&lt;=J19,MAX(0,K19-I19),0),"Revisar datos"))</x:f>
        <x:v>0</x:v>
      </x:c>
      <x:c r="O19" s="40" t="str">
        <x:f>IF(AND(COUNTA(B19:E19)=0,COUNTA(J19:L19)=0),"",IF(NOT(AND(B19&lt;&gt;"",C19&lt;&gt;"",OR(D19="kg",D19="g",D19="l",D19="ml",D19="pza"),ISNUMBER(E19),E19&gt;=0,ISNUMBER(J19),J19&gt;=0,ISNUMBER(K19),K19&gt;=J19,ISNUMBER(L19),L19&gt;=0)),"Revisar: completar datos",IF(COUNTIFS($B$14:$B$43,B19)&gt;1,"Revisar: código duplicado",IF((COUNTIFS('Movimientos'!$C$14:$C$163,B19)-COUNTIFS('Movimientos'!$C$14:$C$163,B19,'Movimientos'!$K$14:$K$163,"OK"))&gt;0,"Revisar: movimientos",IF(I19&lt;0,"Revisar: stock negativo",IF(I19&lt;=J19,"Reponer","Disponible"))))))</x:f>
        <x:v>Disponible</x:v>
      </x:c>
    </x:row>
    <x:row r="20" ht="24" customHeight="1">
      <x:c r="A20" s="3"/>
      <x:c r="B20" s="24" t="str">
        <x:v>BEB02</x:v>
      </x:c>
      <x:c r="C20" s="24" t="str">
        <x:v>Limón</x:v>
      </x:c>
      <x:c r="D20" s="24" t="str">
        <x:v>kg</x:v>
      </x:c>
      <x:c r="E20" s="41" t="n">
        <x:v>8</x:v>
      </x:c>
      <x:c r="F20" s="42" t="n">
        <x:f>IF(AND(COUNTA(B20:E20)=0,COUNTA(J20:L20)=0),"",IF(B20="","Revisar datos",SUMIFS('Movimientos'!$F$14:$F$163,'Movimientos'!$C$14:$C$163,B20,'Movimientos'!$E$14:$E$163,"Entrada",'Movimientos'!$K$14:$K$163,"OK")))</x:f>
        <x:v>5</x:v>
      </x:c>
      <x:c r="G20" s="42" t="n">
        <x:f>IF(AND(COUNTA(B20:E20)=0,COUNTA(J20:L20)=0),"",IF(B20="","Revisar datos",SUMIFS('Movimientos'!$F$14:$F$163,'Movimientos'!$C$14:$C$163,B20,'Movimientos'!$E$14:$E$163,"Salida",'Movimientos'!$K$14:$K$163,"OK")))</x:f>
        <x:v>9</x:v>
      </x:c>
      <x:c r="H20" s="42" t="n">
        <x:f>IF(AND(COUNTA(B20:E20)=0,COUNTA(J20:L20)=0),"",IF(B20="","Revisar datos",SUMIFS('Movimientos'!$F$14:$F$163,'Movimientos'!$C$14:$C$163,B20,'Movimientos'!$E$14:$E$163,"Merma",'Movimientos'!$K$14:$K$163,"OK")))</x:f>
        <x:v>0.5</x:v>
      </x:c>
      <x:c r="I20" s="42" t="n">
        <x:f>IF(AND(COUNTA(B20:E20)=0,COUNTA(J20:L20)=0),"",IF(AND(AND(B20&lt;&gt;"",C20&lt;&gt;"",OR(D20="kg",D20="g",D20="l",D20="ml",D20="pza"),ISNUMBER(E20),E20&gt;=0,ISNUMBER(J20),J20&gt;=0,ISNUMBER(K20),K20&gt;=J20,ISNUMBER(L20),L20&gt;=0),COUNTIFS($B$14:$B$43,B20)=1,(COUNTIFS('Movimientos'!$C$14:$C$163,B20)-COUNTIFS('Movimientos'!$C$14:$C$163,B20,'Movimientos'!$K$14:$K$163,"OK"))=0),E20+F20-G20-H20,"Revisar datos"))</x:f>
        <x:v>3.5</x:v>
      </x:c>
      <x:c r="J20" s="41" t="n">
        <x:v>3</x:v>
      </x:c>
      <x:c r="K20" s="41" t="n">
        <x:v>12</x:v>
      </x:c>
      <x:c r="L20" s="38" t="n">
        <x:v>60</x:v>
      </x:c>
      <x:c r="M20" s="16" t="n">
        <x:f>IF(AND(COUNTA(B20:E20)=0,COUNTA(J20:L20)=0),"",IF(AND(ISNUMBER(I20),I20&gt;=0),I20*L20,"Revisar datos"))</x:f>
        <x:v>210</x:v>
      </x:c>
      <x:c r="N20" s="42" t="n">
        <x:f>IF(AND(COUNTA(B20:E20)=0,COUNTA(J20:L20)=0),"",IF(AND(ISNUMBER(I20),I20&gt;=0),IF(I20&lt;=J20,MAX(0,K20-I20),0),"Revisar datos"))</x:f>
        <x:v>0</x:v>
      </x:c>
      <x:c r="O20" s="40" t="str">
        <x:f>IF(AND(COUNTA(B20:E20)=0,COUNTA(J20:L20)=0),"",IF(NOT(AND(B20&lt;&gt;"",C20&lt;&gt;"",OR(D20="kg",D20="g",D20="l",D20="ml",D20="pza"),ISNUMBER(E20),E20&gt;=0,ISNUMBER(J20),J20&gt;=0,ISNUMBER(K20),K20&gt;=J20,ISNUMBER(L20),L20&gt;=0)),"Revisar: completar datos",IF(COUNTIFS($B$14:$B$43,B20)&gt;1,"Revisar: código duplicado",IF((COUNTIFS('Movimientos'!$C$14:$C$163,B20)-COUNTIFS('Movimientos'!$C$14:$C$163,B20,'Movimientos'!$K$14:$K$163,"OK"))&gt;0,"Revisar: movimientos",IF(I20&lt;0,"Revisar: stock negativo",IF(I20&lt;=J20,"Reponer","Disponible"))))))</x:f>
        <x:v>Disponible</x:v>
      </x:c>
    </x:row>
    <x:row r="21" ht="24" customHeight="1">
      <x:c r="A21" s="3"/>
      <x:c r="B21" s="24" t="str">
        <x:v>EMP01</x:v>
      </x:c>
      <x:c r="C21" s="24" t="str">
        <x:v>Vaso biodegradable</x:v>
      </x:c>
      <x:c r="D21" s="24" t="str">
        <x:v>pza</x:v>
      </x:c>
      <x:c r="E21" s="41" t="n">
        <x:v>120</x:v>
      </x:c>
      <x:c r="F21" s="42" t="n">
        <x:f>IF(AND(COUNTA(B21:E21)=0,COUNTA(J21:L21)=0),"",IF(B21="","Revisar datos",SUMIFS('Movimientos'!$F$14:$F$163,'Movimientos'!$C$14:$C$163,B21,'Movimientos'!$E$14:$E$163,"Entrada",'Movimientos'!$K$14:$K$163,"OK")))</x:f>
        <x:v>0</x:v>
      </x:c>
      <x:c r="G21" s="42" t="n">
        <x:f>IF(AND(COUNTA(B21:E21)=0,COUNTA(J21:L21)=0),"",IF(B21="","Revisar datos",SUMIFS('Movimientos'!$F$14:$F$163,'Movimientos'!$C$14:$C$163,B21,'Movimientos'!$E$14:$E$163,"Salida",'Movimientos'!$K$14:$K$163,"OK")))</x:f>
        <x:v>90</x:v>
      </x:c>
      <x:c r="H21" s="42" t="n">
        <x:f>IF(AND(COUNTA(B21:E21)=0,COUNTA(J21:L21)=0),"",IF(B21="","Revisar datos",SUMIFS('Movimientos'!$F$14:$F$163,'Movimientos'!$C$14:$C$163,B21,'Movimientos'!$E$14:$E$163,"Merma",'Movimientos'!$K$14:$K$163,"OK")))</x:f>
        <x:v>0</x:v>
      </x:c>
      <x:c r="I21" s="42" t="n">
        <x:f>IF(AND(COUNTA(B21:E21)=0,COUNTA(J21:L21)=0),"",IF(AND(AND(B21&lt;&gt;"",C21&lt;&gt;"",OR(D21="kg",D21="g",D21="l",D21="ml",D21="pza"),ISNUMBER(E21),E21&gt;=0,ISNUMBER(J21),J21&gt;=0,ISNUMBER(K21),K21&gt;=J21,ISNUMBER(L21),L21&gt;=0),COUNTIFS($B$14:$B$43,B21)=1,(COUNTIFS('Movimientos'!$C$14:$C$163,B21)-COUNTIFS('Movimientos'!$C$14:$C$163,B21,'Movimientos'!$K$14:$K$163,"OK"))=0),E21+F21-G21-H21,"Revisar datos"))</x:f>
        <x:v>30</x:v>
      </x:c>
      <x:c r="J21" s="41" t="n">
        <x:v>40</x:v>
      </x:c>
      <x:c r="K21" s="41" t="n">
        <x:v>150</x:v>
      </x:c>
      <x:c r="L21" s="38" t="n">
        <x:v>1.4</x:v>
      </x:c>
      <x:c r="M21" s="16" t="n">
        <x:f>IF(AND(COUNTA(B21:E21)=0,COUNTA(J21:L21)=0),"",IF(AND(ISNUMBER(I21),I21&gt;=0),I21*L21,"Revisar datos"))</x:f>
        <x:v>42</x:v>
      </x:c>
      <x:c r="N21" s="42" t="n">
        <x:f>IF(AND(COUNTA(B21:E21)=0,COUNTA(J21:L21)=0),"",IF(AND(ISNUMBER(I21),I21&gt;=0),IF(I21&lt;=J21,MAX(0,K21-I21),0),"Revisar datos"))</x:f>
        <x:v>120</x:v>
      </x:c>
      <x:c r="O21" s="40" t="str">
        <x:f>IF(AND(COUNTA(B21:E21)=0,COUNTA(J21:L21)=0),"",IF(NOT(AND(B21&lt;&gt;"",C21&lt;&gt;"",OR(D21="kg",D21="g",D21="l",D21="ml",D21="pza"),ISNUMBER(E21),E21&gt;=0,ISNUMBER(J21),J21&gt;=0,ISNUMBER(K21),K21&gt;=J21,ISNUMBER(L21),L21&gt;=0)),"Revisar: completar datos",IF(COUNTIFS($B$14:$B$43,B21)&gt;1,"Revisar: código duplicado",IF((COUNTIFS('Movimientos'!$C$14:$C$163,B21)-COUNTIFS('Movimientos'!$C$14:$C$163,B21,'Movimientos'!$K$14:$K$163,"OK"))&gt;0,"Revisar: movimientos",IF(I21&lt;0,"Revisar: stock negativo",IF(I21&lt;=J21,"Reponer","Disponible"))))))</x:f>
        <x:v>Reponer</x:v>
      </x:c>
    </x:row>
    <x:row r="22" ht="24" customHeight="1">
      <x:c r="A22" s="3"/>
      <x:c r="B22" s="24"/>
      <x:c r="C22" s="24"/>
      <x:c r="D22" s="24"/>
      <x:c r="E22" s="41"/>
      <x:c r="F22" s="42" t="str">
        <x:f>IF(AND(COUNTA(B22:E22)=0,COUNTA(J22:L22)=0),"",IF(B22="","Revisar datos",SUMIFS('Movimientos'!$F$14:$F$163,'Movimientos'!$C$14:$C$163,B22,'Movimientos'!$E$14:$E$163,"Entrada",'Movimientos'!$K$14:$K$163,"OK")))</x:f>
      </x:c>
      <x:c r="G22" s="42" t="str">
        <x:f>IF(AND(COUNTA(B22:E22)=0,COUNTA(J22:L22)=0),"",IF(B22="","Revisar datos",SUMIFS('Movimientos'!$F$14:$F$163,'Movimientos'!$C$14:$C$163,B22,'Movimientos'!$E$14:$E$163,"Salida",'Movimientos'!$K$14:$K$163,"OK")))</x:f>
      </x:c>
      <x:c r="H22" s="42" t="str">
        <x:f>IF(AND(COUNTA(B22:E22)=0,COUNTA(J22:L22)=0),"",IF(B22="","Revisar datos",SUMIFS('Movimientos'!$F$14:$F$163,'Movimientos'!$C$14:$C$163,B22,'Movimientos'!$E$14:$E$163,"Merma",'Movimientos'!$K$14:$K$163,"OK")))</x:f>
      </x:c>
      <x:c r="I22" s="42" t="str">
        <x:f>IF(AND(COUNTA(B22:E22)=0,COUNTA(J22:L22)=0),"",IF(AND(AND(B22&lt;&gt;"",C22&lt;&gt;"",OR(D22="kg",D22="g",D22="l",D22="ml",D22="pza"),ISNUMBER(E22),E22&gt;=0,ISNUMBER(J22),J22&gt;=0,ISNUMBER(K22),K22&gt;=J22,ISNUMBER(L22),L22&gt;=0),COUNTIFS($B$14:$B$43,B22)=1,(COUNTIFS('Movimientos'!$C$14:$C$163,B22)-COUNTIFS('Movimientos'!$C$14:$C$163,B22,'Movimientos'!$K$14:$K$163,"OK"))=0),E22+F22-G22-H22,"Revisar datos"))</x:f>
      </x:c>
      <x:c r="J22" s="41"/>
      <x:c r="K22" s="41"/>
      <x:c r="L22" s="38"/>
      <x:c r="M22" s="16" t="str">
        <x:f>IF(AND(COUNTA(B22:E22)=0,COUNTA(J22:L22)=0),"",IF(AND(ISNUMBER(I22),I22&gt;=0),I22*L22,"Revisar datos"))</x:f>
      </x:c>
      <x:c r="N22" s="42" t="str">
        <x:f>IF(AND(COUNTA(B22:E22)=0,COUNTA(J22:L22)=0),"",IF(AND(ISNUMBER(I22),I22&gt;=0),IF(I22&lt;=J22,MAX(0,K22-I22),0),"Revisar datos"))</x:f>
      </x:c>
      <x:c r="O22" s="40" t="str">
        <x:f>IF(AND(COUNTA(B22:E22)=0,COUNTA(J22:L22)=0),"",IF(NOT(AND(B22&lt;&gt;"",C22&lt;&gt;"",OR(D22="kg",D22="g",D22="l",D22="ml",D22="pza"),ISNUMBER(E22),E22&gt;=0,ISNUMBER(J22),J22&gt;=0,ISNUMBER(K22),K22&gt;=J22,ISNUMBER(L22),L22&gt;=0)),"Revisar: completar datos",IF(COUNTIFS($B$14:$B$43,B22)&gt;1,"Revisar: código duplicado",IF((COUNTIFS('Movimientos'!$C$14:$C$163,B22)-COUNTIFS('Movimientos'!$C$14:$C$163,B22,'Movimientos'!$K$14:$K$163,"OK"))&gt;0,"Revisar: movimientos",IF(I22&lt;0,"Revisar: stock negativo",IF(I22&lt;=J22,"Reponer","Disponible"))))))</x:f>
      </x:c>
    </x:row>
    <x:row r="23" ht="24" customHeight="1">
      <x:c r="A23" s="3"/>
      <x:c r="B23" s="24"/>
      <x:c r="C23" s="24"/>
      <x:c r="D23" s="24"/>
      <x:c r="E23" s="41"/>
      <x:c r="F23" s="42" t="str">
        <x:f>IF(AND(COUNTA(B23:E23)=0,COUNTA(J23:L23)=0),"",IF(B23="","Revisar datos",SUMIFS('Movimientos'!$F$14:$F$163,'Movimientos'!$C$14:$C$163,B23,'Movimientos'!$E$14:$E$163,"Entrada",'Movimientos'!$K$14:$K$163,"OK")))</x:f>
      </x:c>
      <x:c r="G23" s="42" t="str">
        <x:f>IF(AND(COUNTA(B23:E23)=0,COUNTA(J23:L23)=0),"",IF(B23="","Revisar datos",SUMIFS('Movimientos'!$F$14:$F$163,'Movimientos'!$C$14:$C$163,B23,'Movimientos'!$E$14:$E$163,"Salida",'Movimientos'!$K$14:$K$163,"OK")))</x:f>
      </x:c>
      <x:c r="H23" s="42" t="str">
        <x:f>IF(AND(COUNTA(B23:E23)=0,COUNTA(J23:L23)=0),"",IF(B23="","Revisar datos",SUMIFS('Movimientos'!$F$14:$F$163,'Movimientos'!$C$14:$C$163,B23,'Movimientos'!$E$14:$E$163,"Merma",'Movimientos'!$K$14:$K$163,"OK")))</x:f>
      </x:c>
      <x:c r="I23" s="42" t="str">
        <x:f>IF(AND(COUNTA(B23:E23)=0,COUNTA(J23:L23)=0),"",IF(AND(AND(B23&lt;&gt;"",C23&lt;&gt;"",OR(D23="kg",D23="g",D23="l",D23="ml",D23="pza"),ISNUMBER(E23),E23&gt;=0,ISNUMBER(J23),J23&gt;=0,ISNUMBER(K23),K23&gt;=J23,ISNUMBER(L23),L23&gt;=0),COUNTIFS($B$14:$B$43,B23)=1,(COUNTIFS('Movimientos'!$C$14:$C$163,B23)-COUNTIFS('Movimientos'!$C$14:$C$163,B23,'Movimientos'!$K$14:$K$163,"OK"))=0),E23+F23-G23-H23,"Revisar datos"))</x:f>
      </x:c>
      <x:c r="J23" s="41"/>
      <x:c r="K23" s="41"/>
      <x:c r="L23" s="38"/>
      <x:c r="M23" s="16" t="str">
        <x:f>IF(AND(COUNTA(B23:E23)=0,COUNTA(J23:L23)=0),"",IF(AND(ISNUMBER(I23),I23&gt;=0),I23*L23,"Revisar datos"))</x:f>
      </x:c>
      <x:c r="N23" s="42" t="str">
        <x:f>IF(AND(COUNTA(B23:E23)=0,COUNTA(J23:L23)=0),"",IF(AND(ISNUMBER(I23),I23&gt;=0),IF(I23&lt;=J23,MAX(0,K23-I23),0),"Revisar datos"))</x:f>
      </x:c>
      <x:c r="O23" s="40" t="str">
        <x:f>IF(AND(COUNTA(B23:E23)=0,COUNTA(J23:L23)=0),"",IF(NOT(AND(B23&lt;&gt;"",C23&lt;&gt;"",OR(D23="kg",D23="g",D23="l",D23="ml",D23="pza"),ISNUMBER(E23),E23&gt;=0,ISNUMBER(J23),J23&gt;=0,ISNUMBER(K23),K23&gt;=J23,ISNUMBER(L23),L23&gt;=0)),"Revisar: completar datos",IF(COUNTIFS($B$14:$B$43,B23)&gt;1,"Revisar: código duplicado",IF((COUNTIFS('Movimientos'!$C$14:$C$163,B23)-COUNTIFS('Movimientos'!$C$14:$C$163,B23,'Movimientos'!$K$14:$K$163,"OK"))&gt;0,"Revisar: movimientos",IF(I23&lt;0,"Revisar: stock negativo",IF(I23&lt;=J23,"Reponer","Disponible"))))))</x:f>
      </x:c>
    </x:row>
    <x:row r="24" ht="24" customHeight="1">
      <x:c r="A24" s="3"/>
      <x:c r="B24" s="24"/>
      <x:c r="C24" s="24"/>
      <x:c r="D24" s="24"/>
      <x:c r="E24" s="41"/>
      <x:c r="F24" s="42" t="str">
        <x:f>IF(AND(COUNTA(B24:E24)=0,COUNTA(J24:L24)=0),"",IF(B24="","Revisar datos",SUMIFS('Movimientos'!$F$14:$F$163,'Movimientos'!$C$14:$C$163,B24,'Movimientos'!$E$14:$E$163,"Entrada",'Movimientos'!$K$14:$K$163,"OK")))</x:f>
      </x:c>
      <x:c r="G24" s="42" t="str">
        <x:f>IF(AND(COUNTA(B24:E24)=0,COUNTA(J24:L24)=0),"",IF(B24="","Revisar datos",SUMIFS('Movimientos'!$F$14:$F$163,'Movimientos'!$C$14:$C$163,B24,'Movimientos'!$E$14:$E$163,"Salida",'Movimientos'!$K$14:$K$163,"OK")))</x:f>
      </x:c>
      <x:c r="H24" s="42" t="str">
        <x:f>IF(AND(COUNTA(B24:E24)=0,COUNTA(J24:L24)=0),"",IF(B24="","Revisar datos",SUMIFS('Movimientos'!$F$14:$F$163,'Movimientos'!$C$14:$C$163,B24,'Movimientos'!$E$14:$E$163,"Merma",'Movimientos'!$K$14:$K$163,"OK")))</x:f>
      </x:c>
      <x:c r="I24" s="42" t="str">
        <x:f>IF(AND(COUNTA(B24:E24)=0,COUNTA(J24:L24)=0),"",IF(AND(AND(B24&lt;&gt;"",C24&lt;&gt;"",OR(D24="kg",D24="g",D24="l",D24="ml",D24="pza"),ISNUMBER(E24),E24&gt;=0,ISNUMBER(J24),J24&gt;=0,ISNUMBER(K24),K24&gt;=J24,ISNUMBER(L24),L24&gt;=0),COUNTIFS($B$14:$B$43,B24)=1,(COUNTIFS('Movimientos'!$C$14:$C$163,B24)-COUNTIFS('Movimientos'!$C$14:$C$163,B24,'Movimientos'!$K$14:$K$163,"OK"))=0),E24+F24-G24-H24,"Revisar datos"))</x:f>
      </x:c>
      <x:c r="J24" s="41"/>
      <x:c r="K24" s="41"/>
      <x:c r="L24" s="38"/>
      <x:c r="M24" s="16" t="str">
        <x:f>IF(AND(COUNTA(B24:E24)=0,COUNTA(J24:L24)=0),"",IF(AND(ISNUMBER(I24),I24&gt;=0),I24*L24,"Revisar datos"))</x:f>
      </x:c>
      <x:c r="N24" s="42" t="str">
        <x:f>IF(AND(COUNTA(B24:E24)=0,COUNTA(J24:L24)=0),"",IF(AND(ISNUMBER(I24),I24&gt;=0),IF(I24&lt;=J24,MAX(0,K24-I24),0),"Revisar datos"))</x:f>
      </x:c>
      <x:c r="O24" s="40" t="str">
        <x:f>IF(AND(COUNTA(B24:E24)=0,COUNTA(J24:L24)=0),"",IF(NOT(AND(B24&lt;&gt;"",C24&lt;&gt;"",OR(D24="kg",D24="g",D24="l",D24="ml",D24="pza"),ISNUMBER(E24),E24&gt;=0,ISNUMBER(J24),J24&gt;=0,ISNUMBER(K24),K24&gt;=J24,ISNUMBER(L24),L24&gt;=0)),"Revisar: completar datos",IF(COUNTIFS($B$14:$B$43,B24)&gt;1,"Revisar: código duplicado",IF((COUNTIFS('Movimientos'!$C$14:$C$163,B24)-COUNTIFS('Movimientos'!$C$14:$C$163,B24,'Movimientos'!$K$14:$K$163,"OK"))&gt;0,"Revisar: movimientos",IF(I24&lt;0,"Revisar: stock negativo",IF(I24&lt;=J24,"Reponer","Disponible"))))))</x:f>
      </x:c>
    </x:row>
    <x:row r="25" ht="24" customHeight="1">
      <x:c r="A25" s="3"/>
      <x:c r="B25" s="24"/>
      <x:c r="C25" s="24"/>
      <x:c r="D25" s="24"/>
      <x:c r="E25" s="41"/>
      <x:c r="F25" s="42" t="str">
        <x:f>IF(AND(COUNTA(B25:E25)=0,COUNTA(J25:L25)=0),"",IF(B25="","Revisar datos",SUMIFS('Movimientos'!$F$14:$F$163,'Movimientos'!$C$14:$C$163,B25,'Movimientos'!$E$14:$E$163,"Entrada",'Movimientos'!$K$14:$K$163,"OK")))</x:f>
      </x:c>
      <x:c r="G25" s="42" t="str">
        <x:f>IF(AND(COUNTA(B25:E25)=0,COUNTA(J25:L25)=0),"",IF(B25="","Revisar datos",SUMIFS('Movimientos'!$F$14:$F$163,'Movimientos'!$C$14:$C$163,B25,'Movimientos'!$E$14:$E$163,"Salida",'Movimientos'!$K$14:$K$163,"OK")))</x:f>
      </x:c>
      <x:c r="H25" s="42" t="str">
        <x:f>IF(AND(COUNTA(B25:E25)=0,COUNTA(J25:L25)=0),"",IF(B25="","Revisar datos",SUMIFS('Movimientos'!$F$14:$F$163,'Movimientos'!$C$14:$C$163,B25,'Movimientos'!$E$14:$E$163,"Merma",'Movimientos'!$K$14:$K$163,"OK")))</x:f>
      </x:c>
      <x:c r="I25" s="42" t="str">
        <x:f>IF(AND(COUNTA(B25:E25)=0,COUNTA(J25:L25)=0),"",IF(AND(AND(B25&lt;&gt;"",C25&lt;&gt;"",OR(D25="kg",D25="g",D25="l",D25="ml",D25="pza"),ISNUMBER(E25),E25&gt;=0,ISNUMBER(J25),J25&gt;=0,ISNUMBER(K25),K25&gt;=J25,ISNUMBER(L25),L25&gt;=0),COUNTIFS($B$14:$B$43,B25)=1,(COUNTIFS('Movimientos'!$C$14:$C$163,B25)-COUNTIFS('Movimientos'!$C$14:$C$163,B25,'Movimientos'!$K$14:$K$163,"OK"))=0),E25+F25-G25-H25,"Revisar datos"))</x:f>
      </x:c>
      <x:c r="J25" s="41"/>
      <x:c r="K25" s="41"/>
      <x:c r="L25" s="38"/>
      <x:c r="M25" s="16" t="str">
        <x:f>IF(AND(COUNTA(B25:E25)=0,COUNTA(J25:L25)=0),"",IF(AND(ISNUMBER(I25),I25&gt;=0),I25*L25,"Revisar datos"))</x:f>
      </x:c>
      <x:c r="N25" s="42" t="str">
        <x:f>IF(AND(COUNTA(B25:E25)=0,COUNTA(J25:L25)=0),"",IF(AND(ISNUMBER(I25),I25&gt;=0),IF(I25&lt;=J25,MAX(0,K25-I25),0),"Revisar datos"))</x:f>
      </x:c>
      <x:c r="O25" s="40" t="str">
        <x:f>IF(AND(COUNTA(B25:E25)=0,COUNTA(J25:L25)=0),"",IF(NOT(AND(B25&lt;&gt;"",C25&lt;&gt;"",OR(D25="kg",D25="g",D25="l",D25="ml",D25="pza"),ISNUMBER(E25),E25&gt;=0,ISNUMBER(J25),J25&gt;=0,ISNUMBER(K25),K25&gt;=J25,ISNUMBER(L25),L25&gt;=0)),"Revisar: completar datos",IF(COUNTIFS($B$14:$B$43,B25)&gt;1,"Revisar: código duplicado",IF((COUNTIFS('Movimientos'!$C$14:$C$163,B25)-COUNTIFS('Movimientos'!$C$14:$C$163,B25,'Movimientos'!$K$14:$K$163,"OK"))&gt;0,"Revisar: movimientos",IF(I25&lt;0,"Revisar: stock negativo",IF(I25&lt;=J25,"Reponer","Disponible"))))))</x:f>
      </x:c>
    </x:row>
    <x:row r="26" ht="24" customHeight="1">
      <x:c r="A26" s="3"/>
      <x:c r="B26" s="24"/>
      <x:c r="C26" s="24"/>
      <x:c r="D26" s="24"/>
      <x:c r="E26" s="41"/>
      <x:c r="F26" s="42" t="str">
        <x:f>IF(AND(COUNTA(B26:E26)=0,COUNTA(J26:L26)=0),"",IF(B26="","Revisar datos",SUMIFS('Movimientos'!$F$14:$F$163,'Movimientos'!$C$14:$C$163,B26,'Movimientos'!$E$14:$E$163,"Entrada",'Movimientos'!$K$14:$K$163,"OK")))</x:f>
      </x:c>
      <x:c r="G26" s="42" t="str">
        <x:f>IF(AND(COUNTA(B26:E26)=0,COUNTA(J26:L26)=0),"",IF(B26="","Revisar datos",SUMIFS('Movimientos'!$F$14:$F$163,'Movimientos'!$C$14:$C$163,B26,'Movimientos'!$E$14:$E$163,"Salida",'Movimientos'!$K$14:$K$163,"OK")))</x:f>
      </x:c>
      <x:c r="H26" s="42" t="str">
        <x:f>IF(AND(COUNTA(B26:E26)=0,COUNTA(J26:L26)=0),"",IF(B26="","Revisar datos",SUMIFS('Movimientos'!$F$14:$F$163,'Movimientos'!$C$14:$C$163,B26,'Movimientos'!$E$14:$E$163,"Merma",'Movimientos'!$K$14:$K$163,"OK")))</x:f>
      </x:c>
      <x:c r="I26" s="42" t="str">
        <x:f>IF(AND(COUNTA(B26:E26)=0,COUNTA(J26:L26)=0),"",IF(AND(AND(B26&lt;&gt;"",C26&lt;&gt;"",OR(D26="kg",D26="g",D26="l",D26="ml",D26="pza"),ISNUMBER(E26),E26&gt;=0,ISNUMBER(J26),J26&gt;=0,ISNUMBER(K26),K26&gt;=J26,ISNUMBER(L26),L26&gt;=0),COUNTIFS($B$14:$B$43,B26)=1,(COUNTIFS('Movimientos'!$C$14:$C$163,B26)-COUNTIFS('Movimientos'!$C$14:$C$163,B26,'Movimientos'!$K$14:$K$163,"OK"))=0),E26+F26-G26-H26,"Revisar datos"))</x:f>
      </x:c>
      <x:c r="J26" s="41"/>
      <x:c r="K26" s="41"/>
      <x:c r="L26" s="38"/>
      <x:c r="M26" s="16" t="str">
        <x:f>IF(AND(COUNTA(B26:E26)=0,COUNTA(J26:L26)=0),"",IF(AND(ISNUMBER(I26),I26&gt;=0),I26*L26,"Revisar datos"))</x:f>
      </x:c>
      <x:c r="N26" s="42" t="str">
        <x:f>IF(AND(COUNTA(B26:E26)=0,COUNTA(J26:L26)=0),"",IF(AND(ISNUMBER(I26),I26&gt;=0),IF(I26&lt;=J26,MAX(0,K26-I26),0),"Revisar datos"))</x:f>
      </x:c>
      <x:c r="O26" s="40" t="str">
        <x:f>IF(AND(COUNTA(B26:E26)=0,COUNTA(J26:L26)=0),"",IF(NOT(AND(B26&lt;&gt;"",C26&lt;&gt;"",OR(D26="kg",D26="g",D26="l",D26="ml",D26="pza"),ISNUMBER(E26),E26&gt;=0,ISNUMBER(J26),J26&gt;=0,ISNUMBER(K26),K26&gt;=J26,ISNUMBER(L26),L26&gt;=0)),"Revisar: completar datos",IF(COUNTIFS($B$14:$B$43,B26)&gt;1,"Revisar: código duplicado",IF((COUNTIFS('Movimientos'!$C$14:$C$163,B26)-COUNTIFS('Movimientos'!$C$14:$C$163,B26,'Movimientos'!$K$14:$K$163,"OK"))&gt;0,"Revisar: movimientos",IF(I26&lt;0,"Revisar: stock negativo",IF(I26&lt;=J26,"Reponer","Disponible"))))))</x:f>
      </x:c>
    </x:row>
    <x:row r="27" ht="24" customHeight="1">
      <x:c r="A27" s="3"/>
      <x:c r="B27" s="24"/>
      <x:c r="C27" s="24"/>
      <x:c r="D27" s="24"/>
      <x:c r="E27" s="41"/>
      <x:c r="F27" s="42" t="str">
        <x:f>IF(AND(COUNTA(B27:E27)=0,COUNTA(J27:L27)=0),"",IF(B27="","Revisar datos",SUMIFS('Movimientos'!$F$14:$F$163,'Movimientos'!$C$14:$C$163,B27,'Movimientos'!$E$14:$E$163,"Entrada",'Movimientos'!$K$14:$K$163,"OK")))</x:f>
      </x:c>
      <x:c r="G27" s="42" t="str">
        <x:f>IF(AND(COUNTA(B27:E27)=0,COUNTA(J27:L27)=0),"",IF(B27="","Revisar datos",SUMIFS('Movimientos'!$F$14:$F$163,'Movimientos'!$C$14:$C$163,B27,'Movimientos'!$E$14:$E$163,"Salida",'Movimientos'!$K$14:$K$163,"OK")))</x:f>
      </x:c>
      <x:c r="H27" s="42" t="str">
        <x:f>IF(AND(COUNTA(B27:E27)=0,COUNTA(J27:L27)=0),"",IF(B27="","Revisar datos",SUMIFS('Movimientos'!$F$14:$F$163,'Movimientos'!$C$14:$C$163,B27,'Movimientos'!$E$14:$E$163,"Merma",'Movimientos'!$K$14:$K$163,"OK")))</x:f>
      </x:c>
      <x:c r="I27" s="42" t="str">
        <x:f>IF(AND(COUNTA(B27:E27)=0,COUNTA(J27:L27)=0),"",IF(AND(AND(B27&lt;&gt;"",C27&lt;&gt;"",OR(D27="kg",D27="g",D27="l",D27="ml",D27="pza"),ISNUMBER(E27),E27&gt;=0,ISNUMBER(J27),J27&gt;=0,ISNUMBER(K27),K27&gt;=J27,ISNUMBER(L27),L27&gt;=0),COUNTIFS($B$14:$B$43,B27)=1,(COUNTIFS('Movimientos'!$C$14:$C$163,B27)-COUNTIFS('Movimientos'!$C$14:$C$163,B27,'Movimientos'!$K$14:$K$163,"OK"))=0),E27+F27-G27-H27,"Revisar datos"))</x:f>
      </x:c>
      <x:c r="J27" s="41"/>
      <x:c r="K27" s="41"/>
      <x:c r="L27" s="38"/>
      <x:c r="M27" s="16" t="str">
        <x:f>IF(AND(COUNTA(B27:E27)=0,COUNTA(J27:L27)=0),"",IF(AND(ISNUMBER(I27),I27&gt;=0),I27*L27,"Revisar datos"))</x:f>
      </x:c>
      <x:c r="N27" s="42" t="str">
        <x:f>IF(AND(COUNTA(B27:E27)=0,COUNTA(J27:L27)=0),"",IF(AND(ISNUMBER(I27),I27&gt;=0),IF(I27&lt;=J27,MAX(0,K27-I27),0),"Revisar datos"))</x:f>
      </x:c>
      <x:c r="O27" s="40" t="str">
        <x:f>IF(AND(COUNTA(B27:E27)=0,COUNTA(J27:L27)=0),"",IF(NOT(AND(B27&lt;&gt;"",C27&lt;&gt;"",OR(D27="kg",D27="g",D27="l",D27="ml",D27="pza"),ISNUMBER(E27),E27&gt;=0,ISNUMBER(J27),J27&gt;=0,ISNUMBER(K27),K27&gt;=J27,ISNUMBER(L27),L27&gt;=0)),"Revisar: completar datos",IF(COUNTIFS($B$14:$B$43,B27)&gt;1,"Revisar: código duplicado",IF((COUNTIFS('Movimientos'!$C$14:$C$163,B27)-COUNTIFS('Movimientos'!$C$14:$C$163,B27,'Movimientos'!$K$14:$K$163,"OK"))&gt;0,"Revisar: movimientos",IF(I27&lt;0,"Revisar: stock negativo",IF(I27&lt;=J27,"Reponer","Disponible"))))))</x:f>
      </x:c>
    </x:row>
    <x:row r="28" ht="24" customHeight="1">
      <x:c r="A28" s="3"/>
      <x:c r="B28" s="24"/>
      <x:c r="C28" s="24"/>
      <x:c r="D28" s="24"/>
      <x:c r="E28" s="41"/>
      <x:c r="F28" s="42" t="str">
        <x:f>IF(AND(COUNTA(B28:E28)=0,COUNTA(J28:L28)=0),"",IF(B28="","Revisar datos",SUMIFS('Movimientos'!$F$14:$F$163,'Movimientos'!$C$14:$C$163,B28,'Movimientos'!$E$14:$E$163,"Entrada",'Movimientos'!$K$14:$K$163,"OK")))</x:f>
      </x:c>
      <x:c r="G28" s="42" t="str">
        <x:f>IF(AND(COUNTA(B28:E28)=0,COUNTA(J28:L28)=0),"",IF(B28="","Revisar datos",SUMIFS('Movimientos'!$F$14:$F$163,'Movimientos'!$C$14:$C$163,B28,'Movimientos'!$E$14:$E$163,"Salida",'Movimientos'!$K$14:$K$163,"OK")))</x:f>
      </x:c>
      <x:c r="H28" s="42" t="str">
        <x:f>IF(AND(COUNTA(B28:E28)=0,COUNTA(J28:L28)=0),"",IF(B28="","Revisar datos",SUMIFS('Movimientos'!$F$14:$F$163,'Movimientos'!$C$14:$C$163,B28,'Movimientos'!$E$14:$E$163,"Merma",'Movimientos'!$K$14:$K$163,"OK")))</x:f>
      </x:c>
      <x:c r="I28" s="42" t="str">
        <x:f>IF(AND(COUNTA(B28:E28)=0,COUNTA(J28:L28)=0),"",IF(AND(AND(B28&lt;&gt;"",C28&lt;&gt;"",OR(D28="kg",D28="g",D28="l",D28="ml",D28="pza"),ISNUMBER(E28),E28&gt;=0,ISNUMBER(J28),J28&gt;=0,ISNUMBER(K28),K28&gt;=J28,ISNUMBER(L28),L28&gt;=0),COUNTIFS($B$14:$B$43,B28)=1,(COUNTIFS('Movimientos'!$C$14:$C$163,B28)-COUNTIFS('Movimientos'!$C$14:$C$163,B28,'Movimientos'!$K$14:$K$163,"OK"))=0),E28+F28-G28-H28,"Revisar datos"))</x:f>
      </x:c>
      <x:c r="J28" s="41"/>
      <x:c r="K28" s="41"/>
      <x:c r="L28" s="38"/>
      <x:c r="M28" s="16" t="str">
        <x:f>IF(AND(COUNTA(B28:E28)=0,COUNTA(J28:L28)=0),"",IF(AND(ISNUMBER(I28),I28&gt;=0),I28*L28,"Revisar datos"))</x:f>
      </x:c>
      <x:c r="N28" s="42" t="str">
        <x:f>IF(AND(COUNTA(B28:E28)=0,COUNTA(J28:L28)=0),"",IF(AND(ISNUMBER(I28),I28&gt;=0),IF(I28&lt;=J28,MAX(0,K28-I28),0),"Revisar datos"))</x:f>
      </x:c>
      <x:c r="O28" s="40" t="str">
        <x:f>IF(AND(COUNTA(B28:E28)=0,COUNTA(J28:L28)=0),"",IF(NOT(AND(B28&lt;&gt;"",C28&lt;&gt;"",OR(D28="kg",D28="g",D28="l",D28="ml",D28="pza"),ISNUMBER(E28),E28&gt;=0,ISNUMBER(J28),J28&gt;=0,ISNUMBER(K28),K28&gt;=J28,ISNUMBER(L28),L28&gt;=0)),"Revisar: completar datos",IF(COUNTIFS($B$14:$B$43,B28)&gt;1,"Revisar: código duplicado",IF((COUNTIFS('Movimientos'!$C$14:$C$163,B28)-COUNTIFS('Movimientos'!$C$14:$C$163,B28,'Movimientos'!$K$14:$K$163,"OK"))&gt;0,"Revisar: movimientos",IF(I28&lt;0,"Revisar: stock negativo",IF(I28&lt;=J28,"Reponer","Disponible"))))))</x:f>
      </x:c>
    </x:row>
    <x:row r="29" ht="24" customHeight="1">
      <x:c r="A29" s="3"/>
      <x:c r="B29" s="24"/>
      <x:c r="C29" s="24"/>
      <x:c r="D29" s="24"/>
      <x:c r="E29" s="41"/>
      <x:c r="F29" s="42" t="str">
        <x:f>IF(AND(COUNTA(B29:E29)=0,COUNTA(J29:L29)=0),"",IF(B29="","Revisar datos",SUMIFS('Movimientos'!$F$14:$F$163,'Movimientos'!$C$14:$C$163,B29,'Movimientos'!$E$14:$E$163,"Entrada",'Movimientos'!$K$14:$K$163,"OK")))</x:f>
      </x:c>
      <x:c r="G29" s="42" t="str">
        <x:f>IF(AND(COUNTA(B29:E29)=0,COUNTA(J29:L29)=0),"",IF(B29="","Revisar datos",SUMIFS('Movimientos'!$F$14:$F$163,'Movimientos'!$C$14:$C$163,B29,'Movimientos'!$E$14:$E$163,"Salida",'Movimientos'!$K$14:$K$163,"OK")))</x:f>
      </x:c>
      <x:c r="H29" s="42" t="str">
        <x:f>IF(AND(COUNTA(B29:E29)=0,COUNTA(J29:L29)=0),"",IF(B29="","Revisar datos",SUMIFS('Movimientos'!$F$14:$F$163,'Movimientos'!$C$14:$C$163,B29,'Movimientos'!$E$14:$E$163,"Merma",'Movimientos'!$K$14:$K$163,"OK")))</x:f>
      </x:c>
      <x:c r="I29" s="42" t="str">
        <x:f>IF(AND(COUNTA(B29:E29)=0,COUNTA(J29:L29)=0),"",IF(AND(AND(B29&lt;&gt;"",C29&lt;&gt;"",OR(D29="kg",D29="g",D29="l",D29="ml",D29="pza"),ISNUMBER(E29),E29&gt;=0,ISNUMBER(J29),J29&gt;=0,ISNUMBER(K29),K29&gt;=J29,ISNUMBER(L29),L29&gt;=0),COUNTIFS($B$14:$B$43,B29)=1,(COUNTIFS('Movimientos'!$C$14:$C$163,B29)-COUNTIFS('Movimientos'!$C$14:$C$163,B29,'Movimientos'!$K$14:$K$163,"OK"))=0),E29+F29-G29-H29,"Revisar datos"))</x:f>
      </x:c>
      <x:c r="J29" s="41"/>
      <x:c r="K29" s="41"/>
      <x:c r="L29" s="38"/>
      <x:c r="M29" s="16" t="str">
        <x:f>IF(AND(COUNTA(B29:E29)=0,COUNTA(J29:L29)=0),"",IF(AND(ISNUMBER(I29),I29&gt;=0),I29*L29,"Revisar datos"))</x:f>
      </x:c>
      <x:c r="N29" s="42" t="str">
        <x:f>IF(AND(COUNTA(B29:E29)=0,COUNTA(J29:L29)=0),"",IF(AND(ISNUMBER(I29),I29&gt;=0),IF(I29&lt;=J29,MAX(0,K29-I29),0),"Revisar datos"))</x:f>
      </x:c>
      <x:c r="O29" s="40" t="str">
        <x:f>IF(AND(COUNTA(B29:E29)=0,COUNTA(J29:L29)=0),"",IF(NOT(AND(B29&lt;&gt;"",C29&lt;&gt;"",OR(D29="kg",D29="g",D29="l",D29="ml",D29="pza"),ISNUMBER(E29),E29&gt;=0,ISNUMBER(J29),J29&gt;=0,ISNUMBER(K29),K29&gt;=J29,ISNUMBER(L29),L29&gt;=0)),"Revisar: completar datos",IF(COUNTIFS($B$14:$B$43,B29)&gt;1,"Revisar: código duplicado",IF((COUNTIFS('Movimientos'!$C$14:$C$163,B29)-COUNTIFS('Movimientos'!$C$14:$C$163,B29,'Movimientos'!$K$14:$K$163,"OK"))&gt;0,"Revisar: movimientos",IF(I29&lt;0,"Revisar: stock negativo",IF(I29&lt;=J29,"Reponer","Disponible"))))))</x:f>
      </x:c>
    </x:row>
    <x:row r="30" ht="24" customHeight="1">
      <x:c r="A30" s="3"/>
      <x:c r="B30" s="24"/>
      <x:c r="C30" s="24"/>
      <x:c r="D30" s="24"/>
      <x:c r="E30" s="41"/>
      <x:c r="F30" s="42" t="str">
        <x:f>IF(AND(COUNTA(B30:E30)=0,COUNTA(J30:L30)=0),"",IF(B30="","Revisar datos",SUMIFS('Movimientos'!$F$14:$F$163,'Movimientos'!$C$14:$C$163,B30,'Movimientos'!$E$14:$E$163,"Entrada",'Movimientos'!$K$14:$K$163,"OK")))</x:f>
      </x:c>
      <x:c r="G30" s="42" t="str">
        <x:f>IF(AND(COUNTA(B30:E30)=0,COUNTA(J30:L30)=0),"",IF(B30="","Revisar datos",SUMIFS('Movimientos'!$F$14:$F$163,'Movimientos'!$C$14:$C$163,B30,'Movimientos'!$E$14:$E$163,"Salida",'Movimientos'!$K$14:$K$163,"OK")))</x:f>
      </x:c>
      <x:c r="H30" s="42" t="str">
        <x:f>IF(AND(COUNTA(B30:E30)=0,COUNTA(J30:L30)=0),"",IF(B30="","Revisar datos",SUMIFS('Movimientos'!$F$14:$F$163,'Movimientos'!$C$14:$C$163,B30,'Movimientos'!$E$14:$E$163,"Merma",'Movimientos'!$K$14:$K$163,"OK")))</x:f>
      </x:c>
      <x:c r="I30" s="42" t="str">
        <x:f>IF(AND(COUNTA(B30:E30)=0,COUNTA(J30:L30)=0),"",IF(AND(AND(B30&lt;&gt;"",C30&lt;&gt;"",OR(D30="kg",D30="g",D30="l",D30="ml",D30="pza"),ISNUMBER(E30),E30&gt;=0,ISNUMBER(J30),J30&gt;=0,ISNUMBER(K30),K30&gt;=J30,ISNUMBER(L30),L30&gt;=0),COUNTIFS($B$14:$B$43,B30)=1,(COUNTIFS('Movimientos'!$C$14:$C$163,B30)-COUNTIFS('Movimientos'!$C$14:$C$163,B30,'Movimientos'!$K$14:$K$163,"OK"))=0),E30+F30-G30-H30,"Revisar datos"))</x:f>
      </x:c>
      <x:c r="J30" s="41"/>
      <x:c r="K30" s="41"/>
      <x:c r="L30" s="38"/>
      <x:c r="M30" s="16" t="str">
        <x:f>IF(AND(COUNTA(B30:E30)=0,COUNTA(J30:L30)=0),"",IF(AND(ISNUMBER(I30),I30&gt;=0),I30*L30,"Revisar datos"))</x:f>
      </x:c>
      <x:c r="N30" s="42" t="str">
        <x:f>IF(AND(COUNTA(B30:E30)=0,COUNTA(J30:L30)=0),"",IF(AND(ISNUMBER(I30),I30&gt;=0),IF(I30&lt;=J30,MAX(0,K30-I30),0),"Revisar datos"))</x:f>
      </x:c>
      <x:c r="O30" s="40" t="str">
        <x:f>IF(AND(COUNTA(B30:E30)=0,COUNTA(J30:L30)=0),"",IF(NOT(AND(B30&lt;&gt;"",C30&lt;&gt;"",OR(D30="kg",D30="g",D30="l",D30="ml",D30="pza"),ISNUMBER(E30),E30&gt;=0,ISNUMBER(J30),J30&gt;=0,ISNUMBER(K30),K30&gt;=J30,ISNUMBER(L30),L30&gt;=0)),"Revisar: completar datos",IF(COUNTIFS($B$14:$B$43,B30)&gt;1,"Revisar: código duplicado",IF((COUNTIFS('Movimientos'!$C$14:$C$163,B30)-COUNTIFS('Movimientos'!$C$14:$C$163,B30,'Movimientos'!$K$14:$K$163,"OK"))&gt;0,"Revisar: movimientos",IF(I30&lt;0,"Revisar: stock negativo",IF(I30&lt;=J30,"Reponer","Disponible"))))))</x:f>
      </x:c>
    </x:row>
    <x:row r="31" ht="24" customHeight="1">
      <x:c r="A31" s="3"/>
      <x:c r="B31" s="24"/>
      <x:c r="C31" s="24"/>
      <x:c r="D31" s="24"/>
      <x:c r="E31" s="41"/>
      <x:c r="F31" s="42" t="str">
        <x:f>IF(AND(COUNTA(B31:E31)=0,COUNTA(J31:L31)=0),"",IF(B31="","Revisar datos",SUMIFS('Movimientos'!$F$14:$F$163,'Movimientos'!$C$14:$C$163,B31,'Movimientos'!$E$14:$E$163,"Entrada",'Movimientos'!$K$14:$K$163,"OK")))</x:f>
      </x:c>
      <x:c r="G31" s="42" t="str">
        <x:f>IF(AND(COUNTA(B31:E31)=0,COUNTA(J31:L31)=0),"",IF(B31="","Revisar datos",SUMIFS('Movimientos'!$F$14:$F$163,'Movimientos'!$C$14:$C$163,B31,'Movimientos'!$E$14:$E$163,"Salida",'Movimientos'!$K$14:$K$163,"OK")))</x:f>
      </x:c>
      <x:c r="H31" s="42" t="str">
        <x:f>IF(AND(COUNTA(B31:E31)=0,COUNTA(J31:L31)=0),"",IF(B31="","Revisar datos",SUMIFS('Movimientos'!$F$14:$F$163,'Movimientos'!$C$14:$C$163,B31,'Movimientos'!$E$14:$E$163,"Merma",'Movimientos'!$K$14:$K$163,"OK")))</x:f>
      </x:c>
      <x:c r="I31" s="42" t="str">
        <x:f>IF(AND(COUNTA(B31:E31)=0,COUNTA(J31:L31)=0),"",IF(AND(AND(B31&lt;&gt;"",C31&lt;&gt;"",OR(D31="kg",D31="g",D31="l",D31="ml",D31="pza"),ISNUMBER(E31),E31&gt;=0,ISNUMBER(J31),J31&gt;=0,ISNUMBER(K31),K31&gt;=J31,ISNUMBER(L31),L31&gt;=0),COUNTIFS($B$14:$B$43,B31)=1,(COUNTIFS('Movimientos'!$C$14:$C$163,B31)-COUNTIFS('Movimientos'!$C$14:$C$163,B31,'Movimientos'!$K$14:$K$163,"OK"))=0),E31+F31-G31-H31,"Revisar datos"))</x:f>
      </x:c>
      <x:c r="J31" s="41"/>
      <x:c r="K31" s="41"/>
      <x:c r="L31" s="38"/>
      <x:c r="M31" s="16" t="str">
        <x:f>IF(AND(COUNTA(B31:E31)=0,COUNTA(J31:L31)=0),"",IF(AND(ISNUMBER(I31),I31&gt;=0),I31*L31,"Revisar datos"))</x:f>
      </x:c>
      <x:c r="N31" s="42" t="str">
        <x:f>IF(AND(COUNTA(B31:E31)=0,COUNTA(J31:L31)=0),"",IF(AND(ISNUMBER(I31),I31&gt;=0),IF(I31&lt;=J31,MAX(0,K31-I31),0),"Revisar datos"))</x:f>
      </x:c>
      <x:c r="O31" s="40" t="str">
        <x:f>IF(AND(COUNTA(B31:E31)=0,COUNTA(J31:L31)=0),"",IF(NOT(AND(B31&lt;&gt;"",C31&lt;&gt;"",OR(D31="kg",D31="g",D31="l",D31="ml",D31="pza"),ISNUMBER(E31),E31&gt;=0,ISNUMBER(J31),J31&gt;=0,ISNUMBER(K31),K31&gt;=J31,ISNUMBER(L31),L31&gt;=0)),"Revisar: completar datos",IF(COUNTIFS($B$14:$B$43,B31)&gt;1,"Revisar: código duplicado",IF((COUNTIFS('Movimientos'!$C$14:$C$163,B31)-COUNTIFS('Movimientos'!$C$14:$C$163,B31,'Movimientos'!$K$14:$K$163,"OK"))&gt;0,"Revisar: movimientos",IF(I31&lt;0,"Revisar: stock negativo",IF(I31&lt;=J31,"Reponer","Disponible"))))))</x:f>
      </x:c>
    </x:row>
    <x:row r="32" ht="24" customHeight="1">
      <x:c r="A32" s="3"/>
      <x:c r="B32" s="24"/>
      <x:c r="C32" s="24"/>
      <x:c r="D32" s="24"/>
      <x:c r="E32" s="41"/>
      <x:c r="F32" s="42" t="str">
        <x:f>IF(AND(COUNTA(B32:E32)=0,COUNTA(J32:L32)=0),"",IF(B32="","Revisar datos",SUMIFS('Movimientos'!$F$14:$F$163,'Movimientos'!$C$14:$C$163,B32,'Movimientos'!$E$14:$E$163,"Entrada",'Movimientos'!$K$14:$K$163,"OK")))</x:f>
      </x:c>
      <x:c r="G32" s="42" t="str">
        <x:f>IF(AND(COUNTA(B32:E32)=0,COUNTA(J32:L32)=0),"",IF(B32="","Revisar datos",SUMIFS('Movimientos'!$F$14:$F$163,'Movimientos'!$C$14:$C$163,B32,'Movimientos'!$E$14:$E$163,"Salida",'Movimientos'!$K$14:$K$163,"OK")))</x:f>
      </x:c>
      <x:c r="H32" s="42" t="str">
        <x:f>IF(AND(COUNTA(B32:E32)=0,COUNTA(J32:L32)=0),"",IF(B32="","Revisar datos",SUMIFS('Movimientos'!$F$14:$F$163,'Movimientos'!$C$14:$C$163,B32,'Movimientos'!$E$14:$E$163,"Merma",'Movimientos'!$K$14:$K$163,"OK")))</x:f>
      </x:c>
      <x:c r="I32" s="42" t="str">
        <x:f>IF(AND(COUNTA(B32:E32)=0,COUNTA(J32:L32)=0),"",IF(AND(AND(B32&lt;&gt;"",C32&lt;&gt;"",OR(D32="kg",D32="g",D32="l",D32="ml",D32="pza"),ISNUMBER(E32),E32&gt;=0,ISNUMBER(J32),J32&gt;=0,ISNUMBER(K32),K32&gt;=J32,ISNUMBER(L32),L32&gt;=0),COUNTIFS($B$14:$B$43,B32)=1,(COUNTIFS('Movimientos'!$C$14:$C$163,B32)-COUNTIFS('Movimientos'!$C$14:$C$163,B32,'Movimientos'!$K$14:$K$163,"OK"))=0),E32+F32-G32-H32,"Revisar datos"))</x:f>
      </x:c>
      <x:c r="J32" s="41"/>
      <x:c r="K32" s="41"/>
      <x:c r="L32" s="38"/>
      <x:c r="M32" s="16" t="str">
        <x:f>IF(AND(COUNTA(B32:E32)=0,COUNTA(J32:L32)=0),"",IF(AND(ISNUMBER(I32),I32&gt;=0),I32*L32,"Revisar datos"))</x:f>
      </x:c>
      <x:c r="N32" s="42" t="str">
        <x:f>IF(AND(COUNTA(B32:E32)=0,COUNTA(J32:L32)=0),"",IF(AND(ISNUMBER(I32),I32&gt;=0),IF(I32&lt;=J32,MAX(0,K32-I32),0),"Revisar datos"))</x:f>
      </x:c>
      <x:c r="O32" s="40" t="str">
        <x:f>IF(AND(COUNTA(B32:E32)=0,COUNTA(J32:L32)=0),"",IF(NOT(AND(B32&lt;&gt;"",C32&lt;&gt;"",OR(D32="kg",D32="g",D32="l",D32="ml",D32="pza"),ISNUMBER(E32),E32&gt;=0,ISNUMBER(J32),J32&gt;=0,ISNUMBER(K32),K32&gt;=J32,ISNUMBER(L32),L32&gt;=0)),"Revisar: completar datos",IF(COUNTIFS($B$14:$B$43,B32)&gt;1,"Revisar: código duplicado",IF((COUNTIFS('Movimientos'!$C$14:$C$163,B32)-COUNTIFS('Movimientos'!$C$14:$C$163,B32,'Movimientos'!$K$14:$K$163,"OK"))&gt;0,"Revisar: movimientos",IF(I32&lt;0,"Revisar: stock negativo",IF(I32&lt;=J32,"Reponer","Disponible"))))))</x:f>
      </x:c>
    </x:row>
    <x:row r="33" ht="24" customHeight="1">
      <x:c r="A33" s="3"/>
      <x:c r="B33" s="24"/>
      <x:c r="C33" s="24"/>
      <x:c r="D33" s="24"/>
      <x:c r="E33" s="41"/>
      <x:c r="F33" s="42" t="str">
        <x:f>IF(AND(COUNTA(B33:E33)=0,COUNTA(J33:L33)=0),"",IF(B33="","Revisar datos",SUMIFS('Movimientos'!$F$14:$F$163,'Movimientos'!$C$14:$C$163,B33,'Movimientos'!$E$14:$E$163,"Entrada",'Movimientos'!$K$14:$K$163,"OK")))</x:f>
      </x:c>
      <x:c r="G33" s="42" t="str">
        <x:f>IF(AND(COUNTA(B33:E33)=0,COUNTA(J33:L33)=0),"",IF(B33="","Revisar datos",SUMIFS('Movimientos'!$F$14:$F$163,'Movimientos'!$C$14:$C$163,B33,'Movimientos'!$E$14:$E$163,"Salida",'Movimientos'!$K$14:$K$163,"OK")))</x:f>
      </x:c>
      <x:c r="H33" s="42" t="str">
        <x:f>IF(AND(COUNTA(B33:E33)=0,COUNTA(J33:L33)=0),"",IF(B33="","Revisar datos",SUMIFS('Movimientos'!$F$14:$F$163,'Movimientos'!$C$14:$C$163,B33,'Movimientos'!$E$14:$E$163,"Merma",'Movimientos'!$K$14:$K$163,"OK")))</x:f>
      </x:c>
      <x:c r="I33" s="42" t="str">
        <x:f>IF(AND(COUNTA(B33:E33)=0,COUNTA(J33:L33)=0),"",IF(AND(AND(B33&lt;&gt;"",C33&lt;&gt;"",OR(D33="kg",D33="g",D33="l",D33="ml",D33="pza"),ISNUMBER(E33),E33&gt;=0,ISNUMBER(J33),J33&gt;=0,ISNUMBER(K33),K33&gt;=J33,ISNUMBER(L33),L33&gt;=0),COUNTIFS($B$14:$B$43,B33)=1,(COUNTIFS('Movimientos'!$C$14:$C$163,B33)-COUNTIFS('Movimientos'!$C$14:$C$163,B33,'Movimientos'!$K$14:$K$163,"OK"))=0),E33+F33-G33-H33,"Revisar datos"))</x:f>
      </x:c>
      <x:c r="J33" s="41"/>
      <x:c r="K33" s="41"/>
      <x:c r="L33" s="38"/>
      <x:c r="M33" s="16" t="str">
        <x:f>IF(AND(COUNTA(B33:E33)=0,COUNTA(J33:L33)=0),"",IF(AND(ISNUMBER(I33),I33&gt;=0),I33*L33,"Revisar datos"))</x:f>
      </x:c>
      <x:c r="N33" s="42" t="str">
        <x:f>IF(AND(COUNTA(B33:E33)=0,COUNTA(J33:L33)=0),"",IF(AND(ISNUMBER(I33),I33&gt;=0),IF(I33&lt;=J33,MAX(0,K33-I33),0),"Revisar datos"))</x:f>
      </x:c>
      <x:c r="O33" s="40" t="str">
        <x:f>IF(AND(COUNTA(B33:E33)=0,COUNTA(J33:L33)=0),"",IF(NOT(AND(B33&lt;&gt;"",C33&lt;&gt;"",OR(D33="kg",D33="g",D33="l",D33="ml",D33="pza"),ISNUMBER(E33),E33&gt;=0,ISNUMBER(J33),J33&gt;=0,ISNUMBER(K33),K33&gt;=J33,ISNUMBER(L33),L33&gt;=0)),"Revisar: completar datos",IF(COUNTIFS($B$14:$B$43,B33)&gt;1,"Revisar: código duplicado",IF((COUNTIFS('Movimientos'!$C$14:$C$163,B33)-COUNTIFS('Movimientos'!$C$14:$C$163,B33,'Movimientos'!$K$14:$K$163,"OK"))&gt;0,"Revisar: movimientos",IF(I33&lt;0,"Revisar: stock negativo",IF(I33&lt;=J33,"Reponer","Disponible"))))))</x:f>
      </x:c>
    </x:row>
    <x:row r="34" ht="24" customHeight="1">
      <x:c r="A34" s="3"/>
      <x:c r="B34" s="24"/>
      <x:c r="C34" s="24"/>
      <x:c r="D34" s="24"/>
      <x:c r="E34" s="41"/>
      <x:c r="F34" s="42" t="str">
        <x:f>IF(AND(COUNTA(B34:E34)=0,COUNTA(J34:L34)=0),"",IF(B34="","Revisar datos",SUMIFS('Movimientos'!$F$14:$F$163,'Movimientos'!$C$14:$C$163,B34,'Movimientos'!$E$14:$E$163,"Entrada",'Movimientos'!$K$14:$K$163,"OK")))</x:f>
      </x:c>
      <x:c r="G34" s="42" t="str">
        <x:f>IF(AND(COUNTA(B34:E34)=0,COUNTA(J34:L34)=0),"",IF(B34="","Revisar datos",SUMIFS('Movimientos'!$F$14:$F$163,'Movimientos'!$C$14:$C$163,B34,'Movimientos'!$E$14:$E$163,"Salida",'Movimientos'!$K$14:$K$163,"OK")))</x:f>
      </x:c>
      <x:c r="H34" s="42" t="str">
        <x:f>IF(AND(COUNTA(B34:E34)=0,COUNTA(J34:L34)=0),"",IF(B34="","Revisar datos",SUMIFS('Movimientos'!$F$14:$F$163,'Movimientos'!$C$14:$C$163,B34,'Movimientos'!$E$14:$E$163,"Merma",'Movimientos'!$K$14:$K$163,"OK")))</x:f>
      </x:c>
      <x:c r="I34" s="42" t="str">
        <x:f>IF(AND(COUNTA(B34:E34)=0,COUNTA(J34:L34)=0),"",IF(AND(AND(B34&lt;&gt;"",C34&lt;&gt;"",OR(D34="kg",D34="g",D34="l",D34="ml",D34="pza"),ISNUMBER(E34),E34&gt;=0,ISNUMBER(J34),J34&gt;=0,ISNUMBER(K34),K34&gt;=J34,ISNUMBER(L34),L34&gt;=0),COUNTIFS($B$14:$B$43,B34)=1,(COUNTIFS('Movimientos'!$C$14:$C$163,B34)-COUNTIFS('Movimientos'!$C$14:$C$163,B34,'Movimientos'!$K$14:$K$163,"OK"))=0),E34+F34-G34-H34,"Revisar datos"))</x:f>
      </x:c>
      <x:c r="J34" s="41"/>
      <x:c r="K34" s="41"/>
      <x:c r="L34" s="38"/>
      <x:c r="M34" s="16" t="str">
        <x:f>IF(AND(COUNTA(B34:E34)=0,COUNTA(J34:L34)=0),"",IF(AND(ISNUMBER(I34),I34&gt;=0),I34*L34,"Revisar datos"))</x:f>
      </x:c>
      <x:c r="N34" s="42" t="str">
        <x:f>IF(AND(COUNTA(B34:E34)=0,COUNTA(J34:L34)=0),"",IF(AND(ISNUMBER(I34),I34&gt;=0),IF(I34&lt;=J34,MAX(0,K34-I34),0),"Revisar datos"))</x:f>
      </x:c>
      <x:c r="O34" s="40" t="str">
        <x:f>IF(AND(COUNTA(B34:E34)=0,COUNTA(J34:L34)=0),"",IF(NOT(AND(B34&lt;&gt;"",C34&lt;&gt;"",OR(D34="kg",D34="g",D34="l",D34="ml",D34="pza"),ISNUMBER(E34),E34&gt;=0,ISNUMBER(J34),J34&gt;=0,ISNUMBER(K34),K34&gt;=J34,ISNUMBER(L34),L34&gt;=0)),"Revisar: completar datos",IF(COUNTIFS($B$14:$B$43,B34)&gt;1,"Revisar: código duplicado",IF((COUNTIFS('Movimientos'!$C$14:$C$163,B34)-COUNTIFS('Movimientos'!$C$14:$C$163,B34,'Movimientos'!$K$14:$K$163,"OK"))&gt;0,"Revisar: movimientos",IF(I34&lt;0,"Revisar: stock negativo",IF(I34&lt;=J34,"Reponer","Disponible"))))))</x:f>
      </x:c>
    </x:row>
    <x:row r="35" ht="24" customHeight="1">
      <x:c r="A35" s="3"/>
      <x:c r="B35" s="24"/>
      <x:c r="C35" s="24"/>
      <x:c r="D35" s="24"/>
      <x:c r="E35" s="41"/>
      <x:c r="F35" s="42" t="str">
        <x:f>IF(AND(COUNTA(B35:E35)=0,COUNTA(J35:L35)=0),"",IF(B35="","Revisar datos",SUMIFS('Movimientos'!$F$14:$F$163,'Movimientos'!$C$14:$C$163,B35,'Movimientos'!$E$14:$E$163,"Entrada",'Movimientos'!$K$14:$K$163,"OK")))</x:f>
      </x:c>
      <x:c r="G35" s="42" t="str">
        <x:f>IF(AND(COUNTA(B35:E35)=0,COUNTA(J35:L35)=0),"",IF(B35="","Revisar datos",SUMIFS('Movimientos'!$F$14:$F$163,'Movimientos'!$C$14:$C$163,B35,'Movimientos'!$E$14:$E$163,"Salida",'Movimientos'!$K$14:$K$163,"OK")))</x:f>
      </x:c>
      <x:c r="H35" s="42" t="str">
        <x:f>IF(AND(COUNTA(B35:E35)=0,COUNTA(J35:L35)=0),"",IF(B35="","Revisar datos",SUMIFS('Movimientos'!$F$14:$F$163,'Movimientos'!$C$14:$C$163,B35,'Movimientos'!$E$14:$E$163,"Merma",'Movimientos'!$K$14:$K$163,"OK")))</x:f>
      </x:c>
      <x:c r="I35" s="42" t="str">
        <x:f>IF(AND(COUNTA(B35:E35)=0,COUNTA(J35:L35)=0),"",IF(AND(AND(B35&lt;&gt;"",C35&lt;&gt;"",OR(D35="kg",D35="g",D35="l",D35="ml",D35="pza"),ISNUMBER(E35),E35&gt;=0,ISNUMBER(J35),J35&gt;=0,ISNUMBER(K35),K35&gt;=J35,ISNUMBER(L35),L35&gt;=0),COUNTIFS($B$14:$B$43,B35)=1,(COUNTIFS('Movimientos'!$C$14:$C$163,B35)-COUNTIFS('Movimientos'!$C$14:$C$163,B35,'Movimientos'!$K$14:$K$163,"OK"))=0),E35+F35-G35-H35,"Revisar datos"))</x:f>
      </x:c>
      <x:c r="J35" s="41"/>
      <x:c r="K35" s="41"/>
      <x:c r="L35" s="38"/>
      <x:c r="M35" s="16" t="str">
        <x:f>IF(AND(COUNTA(B35:E35)=0,COUNTA(J35:L35)=0),"",IF(AND(ISNUMBER(I35),I35&gt;=0),I35*L35,"Revisar datos"))</x:f>
      </x:c>
      <x:c r="N35" s="42" t="str">
        <x:f>IF(AND(COUNTA(B35:E35)=0,COUNTA(J35:L35)=0),"",IF(AND(ISNUMBER(I35),I35&gt;=0),IF(I35&lt;=J35,MAX(0,K35-I35),0),"Revisar datos"))</x:f>
      </x:c>
      <x:c r="O35" s="40" t="str">
        <x:f>IF(AND(COUNTA(B35:E35)=0,COUNTA(J35:L35)=0),"",IF(NOT(AND(B35&lt;&gt;"",C35&lt;&gt;"",OR(D35="kg",D35="g",D35="l",D35="ml",D35="pza"),ISNUMBER(E35),E35&gt;=0,ISNUMBER(J35),J35&gt;=0,ISNUMBER(K35),K35&gt;=J35,ISNUMBER(L35),L35&gt;=0)),"Revisar: completar datos",IF(COUNTIFS($B$14:$B$43,B35)&gt;1,"Revisar: código duplicado",IF((COUNTIFS('Movimientos'!$C$14:$C$163,B35)-COUNTIFS('Movimientos'!$C$14:$C$163,B35,'Movimientos'!$K$14:$K$163,"OK"))&gt;0,"Revisar: movimientos",IF(I35&lt;0,"Revisar: stock negativo",IF(I35&lt;=J35,"Reponer","Disponible"))))))</x:f>
      </x:c>
    </x:row>
    <x:row r="36" ht="24" customHeight="1">
      <x:c r="A36" s="3"/>
      <x:c r="B36" s="24"/>
      <x:c r="C36" s="24"/>
      <x:c r="D36" s="24"/>
      <x:c r="E36" s="41"/>
      <x:c r="F36" s="42" t="str">
        <x:f>IF(AND(COUNTA(B36:E36)=0,COUNTA(J36:L36)=0),"",IF(B36="","Revisar datos",SUMIFS('Movimientos'!$F$14:$F$163,'Movimientos'!$C$14:$C$163,B36,'Movimientos'!$E$14:$E$163,"Entrada",'Movimientos'!$K$14:$K$163,"OK")))</x:f>
      </x:c>
      <x:c r="G36" s="42" t="str">
        <x:f>IF(AND(COUNTA(B36:E36)=0,COUNTA(J36:L36)=0),"",IF(B36="","Revisar datos",SUMIFS('Movimientos'!$F$14:$F$163,'Movimientos'!$C$14:$C$163,B36,'Movimientos'!$E$14:$E$163,"Salida",'Movimientos'!$K$14:$K$163,"OK")))</x:f>
      </x:c>
      <x:c r="H36" s="42" t="str">
        <x:f>IF(AND(COUNTA(B36:E36)=0,COUNTA(J36:L36)=0),"",IF(B36="","Revisar datos",SUMIFS('Movimientos'!$F$14:$F$163,'Movimientos'!$C$14:$C$163,B36,'Movimientos'!$E$14:$E$163,"Merma",'Movimientos'!$K$14:$K$163,"OK")))</x:f>
      </x:c>
      <x:c r="I36" s="42" t="str">
        <x:f>IF(AND(COUNTA(B36:E36)=0,COUNTA(J36:L36)=0),"",IF(AND(AND(B36&lt;&gt;"",C36&lt;&gt;"",OR(D36="kg",D36="g",D36="l",D36="ml",D36="pza"),ISNUMBER(E36),E36&gt;=0,ISNUMBER(J36),J36&gt;=0,ISNUMBER(K36),K36&gt;=J36,ISNUMBER(L36),L36&gt;=0),COUNTIFS($B$14:$B$43,B36)=1,(COUNTIFS('Movimientos'!$C$14:$C$163,B36)-COUNTIFS('Movimientos'!$C$14:$C$163,B36,'Movimientos'!$K$14:$K$163,"OK"))=0),E36+F36-G36-H36,"Revisar datos"))</x:f>
      </x:c>
      <x:c r="J36" s="41"/>
      <x:c r="K36" s="41"/>
      <x:c r="L36" s="38"/>
      <x:c r="M36" s="16" t="str">
        <x:f>IF(AND(COUNTA(B36:E36)=0,COUNTA(J36:L36)=0),"",IF(AND(ISNUMBER(I36),I36&gt;=0),I36*L36,"Revisar datos"))</x:f>
      </x:c>
      <x:c r="N36" s="42" t="str">
        <x:f>IF(AND(COUNTA(B36:E36)=0,COUNTA(J36:L36)=0),"",IF(AND(ISNUMBER(I36),I36&gt;=0),IF(I36&lt;=J36,MAX(0,K36-I36),0),"Revisar datos"))</x:f>
      </x:c>
      <x:c r="O36" s="40" t="str">
        <x:f>IF(AND(COUNTA(B36:E36)=0,COUNTA(J36:L36)=0),"",IF(NOT(AND(B36&lt;&gt;"",C36&lt;&gt;"",OR(D36="kg",D36="g",D36="l",D36="ml",D36="pza"),ISNUMBER(E36),E36&gt;=0,ISNUMBER(J36),J36&gt;=0,ISNUMBER(K36),K36&gt;=J36,ISNUMBER(L36),L36&gt;=0)),"Revisar: completar datos",IF(COUNTIFS($B$14:$B$43,B36)&gt;1,"Revisar: código duplicado",IF((COUNTIFS('Movimientos'!$C$14:$C$163,B36)-COUNTIFS('Movimientos'!$C$14:$C$163,B36,'Movimientos'!$K$14:$K$163,"OK"))&gt;0,"Revisar: movimientos",IF(I36&lt;0,"Revisar: stock negativo",IF(I36&lt;=J36,"Reponer","Disponible"))))))</x:f>
      </x:c>
    </x:row>
    <x:row r="37" ht="24" customHeight="1">
      <x:c r="A37" s="3"/>
      <x:c r="B37" s="24"/>
      <x:c r="C37" s="24"/>
      <x:c r="D37" s="24"/>
      <x:c r="E37" s="41"/>
      <x:c r="F37" s="42" t="str">
        <x:f>IF(AND(COUNTA(B37:E37)=0,COUNTA(J37:L37)=0),"",IF(B37="","Revisar datos",SUMIFS('Movimientos'!$F$14:$F$163,'Movimientos'!$C$14:$C$163,B37,'Movimientos'!$E$14:$E$163,"Entrada",'Movimientos'!$K$14:$K$163,"OK")))</x:f>
      </x:c>
      <x:c r="G37" s="42" t="str">
        <x:f>IF(AND(COUNTA(B37:E37)=0,COUNTA(J37:L37)=0),"",IF(B37="","Revisar datos",SUMIFS('Movimientos'!$F$14:$F$163,'Movimientos'!$C$14:$C$163,B37,'Movimientos'!$E$14:$E$163,"Salida",'Movimientos'!$K$14:$K$163,"OK")))</x:f>
      </x:c>
      <x:c r="H37" s="42" t="str">
        <x:f>IF(AND(COUNTA(B37:E37)=0,COUNTA(J37:L37)=0),"",IF(B37="","Revisar datos",SUMIFS('Movimientos'!$F$14:$F$163,'Movimientos'!$C$14:$C$163,B37,'Movimientos'!$E$14:$E$163,"Merma",'Movimientos'!$K$14:$K$163,"OK")))</x:f>
      </x:c>
      <x:c r="I37" s="42" t="str">
        <x:f>IF(AND(COUNTA(B37:E37)=0,COUNTA(J37:L37)=0),"",IF(AND(AND(B37&lt;&gt;"",C37&lt;&gt;"",OR(D37="kg",D37="g",D37="l",D37="ml",D37="pza"),ISNUMBER(E37),E37&gt;=0,ISNUMBER(J37),J37&gt;=0,ISNUMBER(K37),K37&gt;=J37,ISNUMBER(L37),L37&gt;=0),COUNTIFS($B$14:$B$43,B37)=1,(COUNTIFS('Movimientos'!$C$14:$C$163,B37)-COUNTIFS('Movimientos'!$C$14:$C$163,B37,'Movimientos'!$K$14:$K$163,"OK"))=0),E37+F37-G37-H37,"Revisar datos"))</x:f>
      </x:c>
      <x:c r="J37" s="41"/>
      <x:c r="K37" s="41"/>
      <x:c r="L37" s="38"/>
      <x:c r="M37" s="16" t="str">
        <x:f>IF(AND(COUNTA(B37:E37)=0,COUNTA(J37:L37)=0),"",IF(AND(ISNUMBER(I37),I37&gt;=0),I37*L37,"Revisar datos"))</x:f>
      </x:c>
      <x:c r="N37" s="42" t="str">
        <x:f>IF(AND(COUNTA(B37:E37)=0,COUNTA(J37:L37)=0),"",IF(AND(ISNUMBER(I37),I37&gt;=0),IF(I37&lt;=J37,MAX(0,K37-I37),0),"Revisar datos"))</x:f>
      </x:c>
      <x:c r="O37" s="40" t="str">
        <x:f>IF(AND(COUNTA(B37:E37)=0,COUNTA(J37:L37)=0),"",IF(NOT(AND(B37&lt;&gt;"",C37&lt;&gt;"",OR(D37="kg",D37="g",D37="l",D37="ml",D37="pza"),ISNUMBER(E37),E37&gt;=0,ISNUMBER(J37),J37&gt;=0,ISNUMBER(K37),K37&gt;=J37,ISNUMBER(L37),L37&gt;=0)),"Revisar: completar datos",IF(COUNTIFS($B$14:$B$43,B37)&gt;1,"Revisar: código duplicado",IF((COUNTIFS('Movimientos'!$C$14:$C$163,B37)-COUNTIFS('Movimientos'!$C$14:$C$163,B37,'Movimientos'!$K$14:$K$163,"OK"))&gt;0,"Revisar: movimientos",IF(I37&lt;0,"Revisar: stock negativo",IF(I37&lt;=J37,"Reponer","Disponible"))))))</x:f>
      </x:c>
    </x:row>
    <x:row r="38" ht="24" customHeight="1">
      <x:c r="A38" s="3"/>
      <x:c r="B38" s="24"/>
      <x:c r="C38" s="24"/>
      <x:c r="D38" s="24"/>
      <x:c r="E38" s="41"/>
      <x:c r="F38" s="42" t="str">
        <x:f>IF(AND(COUNTA(B38:E38)=0,COUNTA(J38:L38)=0),"",IF(B38="","Revisar datos",SUMIFS('Movimientos'!$F$14:$F$163,'Movimientos'!$C$14:$C$163,B38,'Movimientos'!$E$14:$E$163,"Entrada",'Movimientos'!$K$14:$K$163,"OK")))</x:f>
      </x:c>
      <x:c r="G38" s="42" t="str">
        <x:f>IF(AND(COUNTA(B38:E38)=0,COUNTA(J38:L38)=0),"",IF(B38="","Revisar datos",SUMIFS('Movimientos'!$F$14:$F$163,'Movimientos'!$C$14:$C$163,B38,'Movimientos'!$E$14:$E$163,"Salida",'Movimientos'!$K$14:$K$163,"OK")))</x:f>
      </x:c>
      <x:c r="H38" s="42" t="str">
        <x:f>IF(AND(COUNTA(B38:E38)=0,COUNTA(J38:L38)=0),"",IF(B38="","Revisar datos",SUMIFS('Movimientos'!$F$14:$F$163,'Movimientos'!$C$14:$C$163,B38,'Movimientos'!$E$14:$E$163,"Merma",'Movimientos'!$K$14:$K$163,"OK")))</x:f>
      </x:c>
      <x:c r="I38" s="42" t="str">
        <x:f>IF(AND(COUNTA(B38:E38)=0,COUNTA(J38:L38)=0),"",IF(AND(AND(B38&lt;&gt;"",C38&lt;&gt;"",OR(D38="kg",D38="g",D38="l",D38="ml",D38="pza"),ISNUMBER(E38),E38&gt;=0,ISNUMBER(J38),J38&gt;=0,ISNUMBER(K38),K38&gt;=J38,ISNUMBER(L38),L38&gt;=0),COUNTIFS($B$14:$B$43,B38)=1,(COUNTIFS('Movimientos'!$C$14:$C$163,B38)-COUNTIFS('Movimientos'!$C$14:$C$163,B38,'Movimientos'!$K$14:$K$163,"OK"))=0),E38+F38-G38-H38,"Revisar datos"))</x:f>
      </x:c>
      <x:c r="J38" s="41"/>
      <x:c r="K38" s="41"/>
      <x:c r="L38" s="38"/>
      <x:c r="M38" s="16" t="str">
        <x:f>IF(AND(COUNTA(B38:E38)=0,COUNTA(J38:L38)=0),"",IF(AND(ISNUMBER(I38),I38&gt;=0),I38*L38,"Revisar datos"))</x:f>
      </x:c>
      <x:c r="N38" s="42" t="str">
        <x:f>IF(AND(COUNTA(B38:E38)=0,COUNTA(J38:L38)=0),"",IF(AND(ISNUMBER(I38),I38&gt;=0),IF(I38&lt;=J38,MAX(0,K38-I38),0),"Revisar datos"))</x:f>
      </x:c>
      <x:c r="O38" s="40" t="str">
        <x:f>IF(AND(COUNTA(B38:E38)=0,COUNTA(J38:L38)=0),"",IF(NOT(AND(B38&lt;&gt;"",C38&lt;&gt;"",OR(D38="kg",D38="g",D38="l",D38="ml",D38="pza"),ISNUMBER(E38),E38&gt;=0,ISNUMBER(J38),J38&gt;=0,ISNUMBER(K38),K38&gt;=J38,ISNUMBER(L38),L38&gt;=0)),"Revisar: completar datos",IF(COUNTIFS($B$14:$B$43,B38)&gt;1,"Revisar: código duplicado",IF((COUNTIFS('Movimientos'!$C$14:$C$163,B38)-COUNTIFS('Movimientos'!$C$14:$C$163,B38,'Movimientos'!$K$14:$K$163,"OK"))&gt;0,"Revisar: movimientos",IF(I38&lt;0,"Revisar: stock negativo",IF(I38&lt;=J38,"Reponer","Disponible"))))))</x:f>
      </x:c>
    </x:row>
    <x:row r="39" ht="24" customHeight="1">
      <x:c r="A39" s="3"/>
      <x:c r="B39" s="24"/>
      <x:c r="C39" s="24"/>
      <x:c r="D39" s="24"/>
      <x:c r="E39" s="41"/>
      <x:c r="F39" s="42" t="str">
        <x:f>IF(AND(COUNTA(B39:E39)=0,COUNTA(J39:L39)=0),"",IF(B39="","Revisar datos",SUMIFS('Movimientos'!$F$14:$F$163,'Movimientos'!$C$14:$C$163,B39,'Movimientos'!$E$14:$E$163,"Entrada",'Movimientos'!$K$14:$K$163,"OK")))</x:f>
      </x:c>
      <x:c r="G39" s="42" t="str">
        <x:f>IF(AND(COUNTA(B39:E39)=0,COUNTA(J39:L39)=0),"",IF(B39="","Revisar datos",SUMIFS('Movimientos'!$F$14:$F$163,'Movimientos'!$C$14:$C$163,B39,'Movimientos'!$E$14:$E$163,"Salida",'Movimientos'!$K$14:$K$163,"OK")))</x:f>
      </x:c>
      <x:c r="H39" s="42" t="str">
        <x:f>IF(AND(COUNTA(B39:E39)=0,COUNTA(J39:L39)=0),"",IF(B39="","Revisar datos",SUMIFS('Movimientos'!$F$14:$F$163,'Movimientos'!$C$14:$C$163,B39,'Movimientos'!$E$14:$E$163,"Merma",'Movimientos'!$K$14:$K$163,"OK")))</x:f>
      </x:c>
      <x:c r="I39" s="42" t="str">
        <x:f>IF(AND(COUNTA(B39:E39)=0,COUNTA(J39:L39)=0),"",IF(AND(AND(B39&lt;&gt;"",C39&lt;&gt;"",OR(D39="kg",D39="g",D39="l",D39="ml",D39="pza"),ISNUMBER(E39),E39&gt;=0,ISNUMBER(J39),J39&gt;=0,ISNUMBER(K39),K39&gt;=J39,ISNUMBER(L39),L39&gt;=0),COUNTIFS($B$14:$B$43,B39)=1,(COUNTIFS('Movimientos'!$C$14:$C$163,B39)-COUNTIFS('Movimientos'!$C$14:$C$163,B39,'Movimientos'!$K$14:$K$163,"OK"))=0),E39+F39-G39-H39,"Revisar datos"))</x:f>
      </x:c>
      <x:c r="J39" s="41"/>
      <x:c r="K39" s="41"/>
      <x:c r="L39" s="38"/>
      <x:c r="M39" s="16" t="str">
        <x:f>IF(AND(COUNTA(B39:E39)=0,COUNTA(J39:L39)=0),"",IF(AND(ISNUMBER(I39),I39&gt;=0),I39*L39,"Revisar datos"))</x:f>
      </x:c>
      <x:c r="N39" s="42" t="str">
        <x:f>IF(AND(COUNTA(B39:E39)=0,COUNTA(J39:L39)=0),"",IF(AND(ISNUMBER(I39),I39&gt;=0),IF(I39&lt;=J39,MAX(0,K39-I39),0),"Revisar datos"))</x:f>
      </x:c>
      <x:c r="O39" s="40" t="str">
        <x:f>IF(AND(COUNTA(B39:E39)=0,COUNTA(J39:L39)=0),"",IF(NOT(AND(B39&lt;&gt;"",C39&lt;&gt;"",OR(D39="kg",D39="g",D39="l",D39="ml",D39="pza"),ISNUMBER(E39),E39&gt;=0,ISNUMBER(J39),J39&gt;=0,ISNUMBER(K39),K39&gt;=J39,ISNUMBER(L39),L39&gt;=0)),"Revisar: completar datos",IF(COUNTIFS($B$14:$B$43,B39)&gt;1,"Revisar: código duplicado",IF((COUNTIFS('Movimientos'!$C$14:$C$163,B39)-COUNTIFS('Movimientos'!$C$14:$C$163,B39,'Movimientos'!$K$14:$K$163,"OK"))&gt;0,"Revisar: movimientos",IF(I39&lt;0,"Revisar: stock negativo",IF(I39&lt;=J39,"Reponer","Disponible"))))))</x:f>
      </x:c>
    </x:row>
    <x:row r="40" ht="24" customHeight="1">
      <x:c r="A40" s="3"/>
      <x:c r="B40" s="24"/>
      <x:c r="C40" s="24"/>
      <x:c r="D40" s="24"/>
      <x:c r="E40" s="41"/>
      <x:c r="F40" s="42" t="str">
        <x:f>IF(AND(COUNTA(B40:E40)=0,COUNTA(J40:L40)=0),"",IF(B40="","Revisar datos",SUMIFS('Movimientos'!$F$14:$F$163,'Movimientos'!$C$14:$C$163,B40,'Movimientos'!$E$14:$E$163,"Entrada",'Movimientos'!$K$14:$K$163,"OK")))</x:f>
      </x:c>
      <x:c r="G40" s="42" t="str">
        <x:f>IF(AND(COUNTA(B40:E40)=0,COUNTA(J40:L40)=0),"",IF(B40="","Revisar datos",SUMIFS('Movimientos'!$F$14:$F$163,'Movimientos'!$C$14:$C$163,B40,'Movimientos'!$E$14:$E$163,"Salida",'Movimientos'!$K$14:$K$163,"OK")))</x:f>
      </x:c>
      <x:c r="H40" s="42" t="str">
        <x:f>IF(AND(COUNTA(B40:E40)=0,COUNTA(J40:L40)=0),"",IF(B40="","Revisar datos",SUMIFS('Movimientos'!$F$14:$F$163,'Movimientos'!$C$14:$C$163,B40,'Movimientos'!$E$14:$E$163,"Merma",'Movimientos'!$K$14:$K$163,"OK")))</x:f>
      </x:c>
      <x:c r="I40" s="42" t="str">
        <x:f>IF(AND(COUNTA(B40:E40)=0,COUNTA(J40:L40)=0),"",IF(AND(AND(B40&lt;&gt;"",C40&lt;&gt;"",OR(D40="kg",D40="g",D40="l",D40="ml",D40="pza"),ISNUMBER(E40),E40&gt;=0,ISNUMBER(J40),J40&gt;=0,ISNUMBER(K40),K40&gt;=J40,ISNUMBER(L40),L40&gt;=0),COUNTIFS($B$14:$B$43,B40)=1,(COUNTIFS('Movimientos'!$C$14:$C$163,B40)-COUNTIFS('Movimientos'!$C$14:$C$163,B40,'Movimientos'!$K$14:$K$163,"OK"))=0),E40+F40-G40-H40,"Revisar datos"))</x:f>
      </x:c>
      <x:c r="J40" s="41"/>
      <x:c r="K40" s="41"/>
      <x:c r="L40" s="38"/>
      <x:c r="M40" s="16" t="str">
        <x:f>IF(AND(COUNTA(B40:E40)=0,COUNTA(J40:L40)=0),"",IF(AND(ISNUMBER(I40),I40&gt;=0),I40*L40,"Revisar datos"))</x:f>
      </x:c>
      <x:c r="N40" s="42" t="str">
        <x:f>IF(AND(COUNTA(B40:E40)=0,COUNTA(J40:L40)=0),"",IF(AND(ISNUMBER(I40),I40&gt;=0),IF(I40&lt;=J40,MAX(0,K40-I40),0),"Revisar datos"))</x:f>
      </x:c>
      <x:c r="O40" s="40" t="str">
        <x:f>IF(AND(COUNTA(B40:E40)=0,COUNTA(J40:L40)=0),"",IF(NOT(AND(B40&lt;&gt;"",C40&lt;&gt;"",OR(D40="kg",D40="g",D40="l",D40="ml",D40="pza"),ISNUMBER(E40),E40&gt;=0,ISNUMBER(J40),J40&gt;=0,ISNUMBER(K40),K40&gt;=J40,ISNUMBER(L40),L40&gt;=0)),"Revisar: completar datos",IF(COUNTIFS($B$14:$B$43,B40)&gt;1,"Revisar: código duplicado",IF((COUNTIFS('Movimientos'!$C$14:$C$163,B40)-COUNTIFS('Movimientos'!$C$14:$C$163,B40,'Movimientos'!$K$14:$K$163,"OK"))&gt;0,"Revisar: movimientos",IF(I40&lt;0,"Revisar: stock negativo",IF(I40&lt;=J40,"Reponer","Disponible"))))))</x:f>
      </x:c>
    </x:row>
    <x:row r="41" ht="24" customHeight="1">
      <x:c r="A41" s="3"/>
      <x:c r="B41" s="24"/>
      <x:c r="C41" s="24"/>
      <x:c r="D41" s="24"/>
      <x:c r="E41" s="41"/>
      <x:c r="F41" s="42" t="str">
        <x:f>IF(AND(COUNTA(B41:E41)=0,COUNTA(J41:L41)=0),"",IF(B41="","Revisar datos",SUMIFS('Movimientos'!$F$14:$F$163,'Movimientos'!$C$14:$C$163,B41,'Movimientos'!$E$14:$E$163,"Entrada",'Movimientos'!$K$14:$K$163,"OK")))</x:f>
      </x:c>
      <x:c r="G41" s="42" t="str">
        <x:f>IF(AND(COUNTA(B41:E41)=0,COUNTA(J41:L41)=0),"",IF(B41="","Revisar datos",SUMIFS('Movimientos'!$F$14:$F$163,'Movimientos'!$C$14:$C$163,B41,'Movimientos'!$E$14:$E$163,"Salida",'Movimientos'!$K$14:$K$163,"OK")))</x:f>
      </x:c>
      <x:c r="H41" s="42" t="str">
        <x:f>IF(AND(COUNTA(B41:E41)=0,COUNTA(J41:L41)=0),"",IF(B41="","Revisar datos",SUMIFS('Movimientos'!$F$14:$F$163,'Movimientos'!$C$14:$C$163,B41,'Movimientos'!$E$14:$E$163,"Merma",'Movimientos'!$K$14:$K$163,"OK")))</x:f>
      </x:c>
      <x:c r="I41" s="42" t="str">
        <x:f>IF(AND(COUNTA(B41:E41)=0,COUNTA(J41:L41)=0),"",IF(AND(AND(B41&lt;&gt;"",C41&lt;&gt;"",OR(D41="kg",D41="g",D41="l",D41="ml",D41="pza"),ISNUMBER(E41),E41&gt;=0,ISNUMBER(J41),J41&gt;=0,ISNUMBER(K41),K41&gt;=J41,ISNUMBER(L41),L41&gt;=0),COUNTIFS($B$14:$B$43,B41)=1,(COUNTIFS('Movimientos'!$C$14:$C$163,B41)-COUNTIFS('Movimientos'!$C$14:$C$163,B41,'Movimientos'!$K$14:$K$163,"OK"))=0),E41+F41-G41-H41,"Revisar datos"))</x:f>
      </x:c>
      <x:c r="J41" s="41"/>
      <x:c r="K41" s="41"/>
      <x:c r="L41" s="38"/>
      <x:c r="M41" s="16" t="str">
        <x:f>IF(AND(COUNTA(B41:E41)=0,COUNTA(J41:L41)=0),"",IF(AND(ISNUMBER(I41),I41&gt;=0),I41*L41,"Revisar datos"))</x:f>
      </x:c>
      <x:c r="N41" s="42" t="str">
        <x:f>IF(AND(COUNTA(B41:E41)=0,COUNTA(J41:L41)=0),"",IF(AND(ISNUMBER(I41),I41&gt;=0),IF(I41&lt;=J41,MAX(0,K41-I41),0),"Revisar datos"))</x:f>
      </x:c>
      <x:c r="O41" s="40" t="str">
        <x:f>IF(AND(COUNTA(B41:E41)=0,COUNTA(J41:L41)=0),"",IF(NOT(AND(B41&lt;&gt;"",C41&lt;&gt;"",OR(D41="kg",D41="g",D41="l",D41="ml",D41="pza"),ISNUMBER(E41),E41&gt;=0,ISNUMBER(J41),J41&gt;=0,ISNUMBER(K41),K41&gt;=J41,ISNUMBER(L41),L41&gt;=0)),"Revisar: completar datos",IF(COUNTIFS($B$14:$B$43,B41)&gt;1,"Revisar: código duplicado",IF((COUNTIFS('Movimientos'!$C$14:$C$163,B41)-COUNTIFS('Movimientos'!$C$14:$C$163,B41,'Movimientos'!$K$14:$K$163,"OK"))&gt;0,"Revisar: movimientos",IF(I41&lt;0,"Revisar: stock negativo",IF(I41&lt;=J41,"Reponer","Disponible"))))))</x:f>
      </x:c>
    </x:row>
    <x:row r="42" ht="24" customHeight="1">
      <x:c r="A42" s="3"/>
      <x:c r="B42" s="24"/>
      <x:c r="C42" s="24"/>
      <x:c r="D42" s="24"/>
      <x:c r="E42" s="41"/>
      <x:c r="F42" s="42" t="str">
        <x:f>IF(AND(COUNTA(B42:E42)=0,COUNTA(J42:L42)=0),"",IF(B42="","Revisar datos",SUMIFS('Movimientos'!$F$14:$F$163,'Movimientos'!$C$14:$C$163,B42,'Movimientos'!$E$14:$E$163,"Entrada",'Movimientos'!$K$14:$K$163,"OK")))</x:f>
      </x:c>
      <x:c r="G42" s="42" t="str">
        <x:f>IF(AND(COUNTA(B42:E42)=0,COUNTA(J42:L42)=0),"",IF(B42="","Revisar datos",SUMIFS('Movimientos'!$F$14:$F$163,'Movimientos'!$C$14:$C$163,B42,'Movimientos'!$E$14:$E$163,"Salida",'Movimientos'!$K$14:$K$163,"OK")))</x:f>
      </x:c>
      <x:c r="H42" s="42" t="str">
        <x:f>IF(AND(COUNTA(B42:E42)=0,COUNTA(J42:L42)=0),"",IF(B42="","Revisar datos",SUMIFS('Movimientos'!$F$14:$F$163,'Movimientos'!$C$14:$C$163,B42,'Movimientos'!$E$14:$E$163,"Merma",'Movimientos'!$K$14:$K$163,"OK")))</x:f>
      </x:c>
      <x:c r="I42" s="42" t="str">
        <x:f>IF(AND(COUNTA(B42:E42)=0,COUNTA(J42:L42)=0),"",IF(AND(AND(B42&lt;&gt;"",C42&lt;&gt;"",OR(D42="kg",D42="g",D42="l",D42="ml",D42="pza"),ISNUMBER(E42),E42&gt;=0,ISNUMBER(J42),J42&gt;=0,ISNUMBER(K42),K42&gt;=J42,ISNUMBER(L42),L42&gt;=0),COUNTIFS($B$14:$B$43,B42)=1,(COUNTIFS('Movimientos'!$C$14:$C$163,B42)-COUNTIFS('Movimientos'!$C$14:$C$163,B42,'Movimientos'!$K$14:$K$163,"OK"))=0),E42+F42-G42-H42,"Revisar datos"))</x:f>
      </x:c>
      <x:c r="J42" s="41"/>
      <x:c r="K42" s="41"/>
      <x:c r="L42" s="38"/>
      <x:c r="M42" s="16" t="str">
        <x:f>IF(AND(COUNTA(B42:E42)=0,COUNTA(J42:L42)=0),"",IF(AND(ISNUMBER(I42),I42&gt;=0),I42*L42,"Revisar datos"))</x:f>
      </x:c>
      <x:c r="N42" s="42" t="str">
        <x:f>IF(AND(COUNTA(B42:E42)=0,COUNTA(J42:L42)=0),"",IF(AND(ISNUMBER(I42),I42&gt;=0),IF(I42&lt;=J42,MAX(0,K42-I42),0),"Revisar datos"))</x:f>
      </x:c>
      <x:c r="O42" s="40" t="str">
        <x:f>IF(AND(COUNTA(B42:E42)=0,COUNTA(J42:L42)=0),"",IF(NOT(AND(B42&lt;&gt;"",C42&lt;&gt;"",OR(D42="kg",D42="g",D42="l",D42="ml",D42="pza"),ISNUMBER(E42),E42&gt;=0,ISNUMBER(J42),J42&gt;=0,ISNUMBER(K42),K42&gt;=J42,ISNUMBER(L42),L42&gt;=0)),"Revisar: completar datos",IF(COUNTIFS($B$14:$B$43,B42)&gt;1,"Revisar: código duplicado",IF((COUNTIFS('Movimientos'!$C$14:$C$163,B42)-COUNTIFS('Movimientos'!$C$14:$C$163,B42,'Movimientos'!$K$14:$K$163,"OK"))&gt;0,"Revisar: movimientos",IF(I42&lt;0,"Revisar: stock negativo",IF(I42&lt;=J42,"Reponer","Disponible"))))))</x:f>
      </x:c>
    </x:row>
    <x:row r="43" ht="24" customHeight="1">
      <x:c r="A43" s="3"/>
      <x:c r="B43" s="24"/>
      <x:c r="C43" s="24"/>
      <x:c r="D43" s="24"/>
      <x:c r="E43" s="41"/>
      <x:c r="F43" s="42" t="str">
        <x:f>IF(AND(COUNTA(B43:E43)=0,COUNTA(J43:L43)=0),"",IF(B43="","Revisar datos",SUMIFS('Movimientos'!$F$14:$F$163,'Movimientos'!$C$14:$C$163,B43,'Movimientos'!$E$14:$E$163,"Entrada",'Movimientos'!$K$14:$K$163,"OK")))</x:f>
      </x:c>
      <x:c r="G43" s="42" t="str">
        <x:f>IF(AND(COUNTA(B43:E43)=0,COUNTA(J43:L43)=0),"",IF(B43="","Revisar datos",SUMIFS('Movimientos'!$F$14:$F$163,'Movimientos'!$C$14:$C$163,B43,'Movimientos'!$E$14:$E$163,"Salida",'Movimientos'!$K$14:$K$163,"OK")))</x:f>
      </x:c>
      <x:c r="H43" s="42" t="str">
        <x:f>IF(AND(COUNTA(B43:E43)=0,COUNTA(J43:L43)=0),"",IF(B43="","Revisar datos",SUMIFS('Movimientos'!$F$14:$F$163,'Movimientos'!$C$14:$C$163,B43,'Movimientos'!$E$14:$E$163,"Merma",'Movimientos'!$K$14:$K$163,"OK")))</x:f>
      </x:c>
      <x:c r="I43" s="42" t="str">
        <x:f>IF(AND(COUNTA(B43:E43)=0,COUNTA(J43:L43)=0),"",IF(AND(AND(B43&lt;&gt;"",C43&lt;&gt;"",OR(D43="kg",D43="g",D43="l",D43="ml",D43="pza"),ISNUMBER(E43),E43&gt;=0,ISNUMBER(J43),J43&gt;=0,ISNUMBER(K43),K43&gt;=J43,ISNUMBER(L43),L43&gt;=0),COUNTIFS($B$14:$B$43,B43)=1,(COUNTIFS('Movimientos'!$C$14:$C$163,B43)-COUNTIFS('Movimientos'!$C$14:$C$163,B43,'Movimientos'!$K$14:$K$163,"OK"))=0),E43+F43-G43-H43,"Revisar datos"))</x:f>
      </x:c>
      <x:c r="J43" s="41"/>
      <x:c r="K43" s="41"/>
      <x:c r="L43" s="38"/>
      <x:c r="M43" s="16" t="str">
        <x:f>IF(AND(COUNTA(B43:E43)=0,COUNTA(J43:L43)=0),"",IF(AND(ISNUMBER(I43),I43&gt;=0),I43*L43,"Revisar datos"))</x:f>
      </x:c>
      <x:c r="N43" s="42" t="str">
        <x:f>IF(AND(COUNTA(B43:E43)=0,COUNTA(J43:L43)=0),"",IF(AND(ISNUMBER(I43),I43&gt;=0),IF(I43&lt;=J43,MAX(0,K43-I43),0),"Revisar datos"))</x:f>
      </x:c>
      <x:c r="O43" s="40" t="str">
        <x:f>IF(AND(COUNTA(B43:E43)=0,COUNTA(J43:L43)=0),"",IF(NOT(AND(B43&lt;&gt;"",C43&lt;&gt;"",OR(D43="kg",D43="g",D43="l",D43="ml",D43="pza"),ISNUMBER(E43),E43&gt;=0,ISNUMBER(J43),J43&gt;=0,ISNUMBER(K43),K43&gt;=J43,ISNUMBER(L43),L43&gt;=0)),"Revisar: completar datos",IF(COUNTIFS($B$14:$B$43,B43)&gt;1,"Revisar: código duplicado",IF((COUNTIFS('Movimientos'!$C$14:$C$163,B43)-COUNTIFS('Movimientos'!$C$14:$C$163,B43,'Movimientos'!$K$14:$K$163,"OK"))&gt;0,"Revisar: movimientos",IF(I43&lt;0,"Revisar: stock negativo",IF(I43&lt;=J43,"Reponer","Disponible"))))))</x:f>
      </x:c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24" customHeight="1">
      <x:c r="A46" s="3"/>
      <x:c r="B46" s="10" t="str">
        <x:v>Registrar entrada o salida</x:v>
      </x:c>
      <x:c r="C46" s="3"/>
      <x:c r="D46" s="3"/>
      <x:c r="E46" s="3"/>
      <x:c r="F46" s="3"/>
      <x:c r="G46" s="10" t="str">
        <x:v>Volver al resumen</x:v>
      </x:c>
      <x:c r="H46" s="3"/>
      <x:c r="I46" s="3"/>
      <x:c r="J46" s="3"/>
      <x:c r="K46" s="3"/>
      <x:c r="L46" s="3"/>
      <x:c r="M46" s="3"/>
      <x:c r="N46" s="3"/>
      <x:c r="O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 ht="24" customHeight="1">
      <x:c r="A48" s="3"/>
      <x:c r="B48" s="5" t="str">
        <x:v>El valor estima el costo unitario capturado. No calcula lotes, caducidad, PEPS ni promedio ponderado.</x:v>
      </x:c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</x:sheetData>
  <x:conditionalFormatting sqref="I14:O43">
    <x:cfRule type="containsText" dxfId="3" priority="1" operator="containsText" text="Revisar"/>
  </x:conditionalFormatting>
  <x:conditionalFormatting sqref="O14:O43">
    <x:cfRule type="containsText" dxfId="4" priority="2" operator="containsText" text="Reponer"/>
  </x:conditionalFormatting>
  <x:dataValidations count="3">
    <x:dataValidation type="list" sqref="D14:D43">
      <x:formula1>"kg,g,l,ml,pza"</x:formula1>
    </x:dataValidation>
    <x:dataValidation type="decimal" operator="between" sqref="E14:E43">
      <x:formula1>0</x:formula1>
      <x:formula2>100000000</x:formula2>
    </x:dataValidation>
    <x:dataValidation type="decimal" operator="between" sqref="J14:L43">
      <x:formula1>0</x:formula1>
      <x:formula2>100000000</x:formula2>
    </x:dataValidation>
  </x:dataValidations>
  <x:hyperlinks>
    <x:hyperlink ref="B46" location="'Movimientos'!A1" display="Registrar entrada o salida"/>
    <x:hyperlink ref="G46" location="'Resumen'!A1" display="Volver al resumen"/>
  </x:hyperlinks>
  <x:pageMargins left="0.7" right="0.7" top="0.75" bottom="0.75" header="0.3" footer="0.3"/>
  <x:drawing xmlns:r="http://schemas.openxmlformats.org/officeDocument/2006/relationships" r:id="Rd1fb1aa534b04dc4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tabColor rgb="FF285D4C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3" hidden="0" customWidth="1"/>
    <x:col min="2" max="2" width="17" hidden="0" customWidth="1"/>
    <x:col min="3" max="3" width="15" hidden="0" customWidth="1"/>
    <x:col min="4" max="4" width="14" hidden="0" customWidth="1"/>
    <x:col min="5" max="5" width="16" hidden="0" customWidth="1"/>
    <x:col min="6" max="6" width="18" hidden="0" customWidth="1"/>
    <x:col min="7" max="7" width="22" hidden="0" customWidth="1"/>
    <x:col min="8" max="8" width="22" hidden="0" customWidth="1"/>
    <x:col min="9" max="9" width="23" hidden="0" customWidth="1"/>
    <x:col min="10" max="10" width="34" hidden="0" customWidth="1"/>
    <x:col min="11" max="11" width="33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4" t="str">
        <x:v>Entradas, salidas y mermas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3"/>
      <x:c r="B3" s="5" t="str">
        <x:v>Cantidades positivas. El tipo de movimiento indica si suma o resta al inventario.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 t="str">
        <x:v>Registros por revisar</x:v>
      </x:c>
      <x:c r="K6" s="3"/>
    </x:row>
    <x:row r="7" ht="24" customHeight="1">
      <x:c r="A7" s="3"/>
      <x:c r="B7" s="3" t="str">
        <x:v>Movimientos registrados</x:v>
      </x:c>
      <x:c r="C7" s="3"/>
      <x:c r="D7" s="3" t="n">
        <x:f>COUNTIFS(K14:K163,"OK")</x:f>
        <x:v>13</x:v>
      </x:c>
      <x:c r="E7" s="3"/>
      <x:c r="F7" s="3" t="str">
        <x:v>Compras de inventario</x:v>
      </x:c>
      <x:c r="G7" s="3"/>
      <x:c r="H7" s="16" t="n">
        <x:f>IF((COUNTIFS(K14:K163,"Revisar: fecha")+COUNTIFS(K14:K163,"Revisar: código")+COUNTIFS(K14:K163,"Revisar: tipo")+COUNTIFS(K14:K163,"Revisar: cantidad")+COUNTIFS(K14:K163,"Revisar: costo de compra")+COUNTIFS(K14:K163,"Revisar: costo solo entrada"))&gt;0,"Revisar datos",SUM(H14:H163))</x:f>
        <x:v>620</x:v>
      </x:c>
      <x:c r="I7" s="3"/>
      <x:c r="J7" s="3"/>
      <x:c r="K7" s="3" t="n">
        <x:f>COUNTIFS(K14:K163,"Revisar: fecha")+COUNTIFS(K14:K163,"Revisar: código")+COUNTIFS(K14:K163,"Revisar: tipo")+COUNTIFS(K14:K163,"Revisar: cantidad")+COUNTIFS(K14:K163,"Revisar: costo de compra")+COUNTIFS(K14:K163,"Revisar: costo solo entrada")</x:f>
        <x:v>0</x:v>
      </x:c>
    </x:row>
    <x:row r="8" ht="24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4" customHeight="1">
      <x:c r="A9" s="3"/>
      <x:c r="B9" s="5" t="str">
        <x:v>Entrada = compra o recepción. Salida = consumo. Merma = pérdida registrada por separado.</x:v>
      </x:c>
      <x:c r="C9" s="5"/>
      <x:c r="D9" s="5"/>
      <x:c r="E9" s="5"/>
      <x:c r="F9" s="5"/>
      <x:c r="G9" s="5"/>
      <x:c r="H9" s="5"/>
      <x:c r="I9" s="5"/>
      <x:c r="J9" s="5"/>
      <x:c r="K9" s="5"/>
    </x:row>
    <x:row r="10" ht="24" customHeight="1">
      <x:c r="A10" s="3"/>
      <x:c r="B10" s="5" t="str">
        <x:v>El costo se captura solo en entradas. No cambia automáticamente el costo de referencia de Inventario.</x:v>
      </x:c>
      <x:c r="C10" s="5"/>
      <x:c r="D10" s="5"/>
      <x:c r="E10" s="5"/>
      <x:c r="F10" s="5"/>
      <x:c r="G10" s="5"/>
      <x:c r="H10" s="5"/>
      <x:c r="I10" s="5"/>
      <x:c r="J10" s="5"/>
      <x:c r="K10" s="5"/>
    </x:row>
    <x:row r="11" ht="24" customHeight="1">
      <x:c r="A11" s="3"/>
      <x:c r="B11" s="5" t="str">
        <x:v>Ejemplos didácticos. Al iniciar, sustituye el stock inicial y borra los movimientos amarillos de ejemplo.</x:v>
      </x:c>
      <x:c r="C11" s="5"/>
      <x:c r="D11" s="5"/>
      <x:c r="E11" s="5"/>
      <x:c r="F11" s="5"/>
      <x:c r="G11" s="5"/>
      <x:c r="H11" s="5"/>
      <x:c r="I11" s="5"/>
      <x:c r="J11" s="5"/>
      <x:c r="K11" s="5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44" customHeight="1">
      <x:c r="A13" s="3"/>
      <x:c r="B13" s="35" t="str">
        <x:v>Fecha</x:v>
      </x:c>
      <x:c r="C13" s="36" t="str">
        <x:v>Código</x:v>
      </x:c>
      <x:c r="D13" s="36" t="str">
        <x:v>Unidad base</x:v>
      </x:c>
      <x:c r="E13" s="36" t="str">
        <x:v>Tipo</x:v>
      </x:c>
      <x:c r="F13" s="36" t="str">
        <x:v>Cantidad</x:v>
      </x:c>
      <x:c r="G13" s="36" t="str">
        <x:v>Costo unitario de entrada</x:v>
      </x:c>
      <x:c r="H13" s="36" t="str">
        <x:v>Importe de compra</x:v>
      </x:c>
      <x:c r="I13" s="36" t="str">
        <x:v>Referencia</x:v>
      </x:c>
      <x:c r="J13" s="36" t="str">
        <x:v>Nota / motivo</x:v>
      </x:c>
      <x:c r="K13" s="37" t="str">
        <x:v>Revisión</x:v>
      </x:c>
    </x:row>
    <x:row r="14" ht="24" customHeight="1">
      <x:c r="A14" s="3"/>
      <x:c r="B14" s="25" t="n">
        <x:v>46296</x:v>
      </x:c>
      <x:c r="C14" s="24" t="str">
        <x:v>VEG01</x:v>
      </x:c>
      <x:c r="D14" s="3" t="str">
        <x:f>IF(AND(COUNTA(B14:C14)=0,COUNTA(E14:G14)=0,COUNTA(I14:J14)=0),"",IF(COUNTIFS('Inventario'!$B$14:$B$43,C14)=1,INDEX('Inventario'!$D$14:$D$43,MATCH(C14,'Inventario'!$B$14:$B$43,0)),"Revisar código"))</x:f>
        <x:v>kg</x:v>
      </x:c>
      <x:c r="E14" s="24" t="str">
        <x:v>Entrada</x:v>
      </x:c>
      <x:c r="F14" s="41" t="n">
        <x:v>10</x:v>
      </x:c>
      <x:c r="G14" s="38" t="n">
        <x:v>28</x:v>
      </x:c>
      <x:c r="H14" s="16" t="n">
        <x:f>IF(AND(COUNTA(B14:C14)=0,COUNTA(E14:G14)=0,COUNTA(I14:J14)=0),"",IF(K14&lt;&gt;"OK","Revisar datos",IF(E14="Entrada",F14*G14,0)))</x:f>
        <x:v>280</x:v>
      </x:c>
      <x:c r="I14" s="24" t="str">
        <x:v>C-001</x:v>
      </x:c>
      <x:c r="J14" s="24" t="str">
        <x:v>Compra semanal</x:v>
      </x:c>
      <x:c r="K14" s="40" t="str">
        <x:f>IF(AND(COUNTA(B14:C14)=0,COUNTA(E14:G14)=0,COUNTA(I14:J14)=0),"",IF(NOT(AND(ISNUMBER(B14),B14&gt;0,B14=INT(B14))),"Revisar: fecha",IF(OR(COUNTIFS('Inventario'!$B$14:$B$43,C14)&lt;&gt;1,NOT(OR(D14="kg",D14="g",D14="l",D14="ml",D14="pza"))),"Revisar: código",IF(NOT(OR(E14="Entrada",E14="Salida",E14="Merma")),"Revisar: tipo",IF(NOT(AND(ISNUMBER(F14),F14&gt;0)),"Revisar: cantidad",IF(AND(E14="Entrada",NOT(AND(ISNUMBER(G14),G14&gt;=0))),"Revisar: costo de compra",IF(AND(E14&lt;&gt;"Entrada",G14&lt;&gt;""),"Revisar: costo solo entrada","OK")))))))</x:f>
        <x:v>OK</x:v>
      </x:c>
    </x:row>
    <x:row r="15" ht="24" customHeight="1">
      <x:c r="A15" s="3"/>
      <x:c r="B15" s="25" t="n">
        <x:v>46297</x:v>
      </x:c>
      <x:c r="C15" s="24" t="str">
        <x:v>VEG01</x:v>
      </x:c>
      <x:c r="D15" s="3" t="str">
        <x:f>IF(AND(COUNTA(B15:C15)=0,COUNTA(E15:G15)=0,COUNTA(I15:J15)=0),"",IF(COUNTIFS('Inventario'!$B$14:$B$43,C15)=1,INDEX('Inventario'!$D$14:$D$43,MATCH(C15,'Inventario'!$B$14:$B$43,0)),"Revisar código"))</x:f>
        <x:v>kg</x:v>
      </x:c>
      <x:c r="E15" s="24" t="str">
        <x:v>Salida</x:v>
      </x:c>
      <x:c r="F15" s="41" t="n">
        <x:v>15</x:v>
      </x:c>
      <x:c r="G15" s="38"/>
      <x:c r="H15" s="16" t="n">
        <x:f>IF(AND(COUNTA(B15:C15)=0,COUNTA(E15:G15)=0,COUNTA(I15:J15)=0),"",IF(K15&lt;&gt;"OK","Revisar datos",IF(E15="Entrada",F15*G15,0)))</x:f>
        <x:v>0</x:v>
      </x:c>
      <x:c r="I15" s="24" t="str">
        <x:v>S-001</x:v>
      </x:c>
      <x:c r="J15" s="24" t="str">
        <x:v>Producción</x:v>
      </x:c>
      <x:c r="K15" s="40" t="str">
        <x:f>IF(AND(COUNTA(B15:C15)=0,COUNTA(E15:G15)=0,COUNTA(I15:J15)=0),"",IF(NOT(AND(ISNUMBER(B15),B15&gt;0,B15=INT(B15))),"Revisar: fecha",IF(OR(COUNTIFS('Inventario'!$B$14:$B$43,C15)&lt;&gt;1,NOT(OR(D15="kg",D15="g",D15="l",D15="ml",D15="pza"))),"Revisar: código",IF(NOT(OR(E15="Entrada",E15="Salida",E15="Merma")),"Revisar: tipo",IF(NOT(AND(ISNUMBER(F15),F15&gt;0)),"Revisar: cantidad",IF(AND(E15="Entrada",NOT(AND(ISNUMBER(G15),G15&gt;=0))),"Revisar: costo de compra",IF(AND(E15&lt;&gt;"Entrada",G15&lt;&gt;""),"Revisar: costo solo entrada","OK")))))))</x:f>
        <x:v>OK</x:v>
      </x:c>
    </x:row>
    <x:row r="16" ht="24" customHeight="1">
      <x:c r="A16" s="3"/>
      <x:c r="B16" s="25" t="n">
        <x:v>46297</x:v>
      </x:c>
      <x:c r="C16" s="24" t="str">
        <x:v>VEG02</x:v>
      </x:c>
      <x:c r="D16" s="3" t="str">
        <x:f>IF(AND(COUNTA(B16:C16)=0,COUNTA(E16:G16)=0,COUNTA(I16:J16)=0),"",IF(COUNTIFS('Inventario'!$B$14:$B$43,C16)=1,INDEX('Inventario'!$D$14:$D$43,MATCH(C16,'Inventario'!$B$14:$B$43,0)),"Revisar código"))</x:f>
        <x:v>kg</x:v>
      </x:c>
      <x:c r="E16" s="24" t="str">
        <x:v>Salida</x:v>
      </x:c>
      <x:c r="F16" s="41" t="n">
        <x:v>5</x:v>
      </x:c>
      <x:c r="G16" s="38"/>
      <x:c r="H16" s="16" t="n">
        <x:f>IF(AND(COUNTA(B16:C16)=0,COUNTA(E16:G16)=0,COUNTA(I16:J16)=0),"",IF(K16&lt;&gt;"OK","Revisar datos",IF(E16="Entrada",F16*G16,0)))</x:f>
        <x:v>0</x:v>
      </x:c>
      <x:c r="I16" s="24" t="str">
        <x:v>S-002</x:v>
      </x:c>
      <x:c r="J16" s="24" t="str">
        <x:v>Producción</x:v>
      </x:c>
      <x:c r="K16" s="40" t="str">
        <x:f>IF(AND(COUNTA(B16:C16)=0,COUNTA(E16:G16)=0,COUNTA(I16:J16)=0),"",IF(NOT(AND(ISNUMBER(B16),B16&gt;0,B16=INT(B16))),"Revisar: fecha",IF(OR(COUNTIFS('Inventario'!$B$14:$B$43,C16)&lt;&gt;1,NOT(OR(D16="kg",D16="g",D16="l",D16="ml",D16="pza"))),"Revisar: código",IF(NOT(OR(E16="Entrada",E16="Salida",E16="Merma")),"Revisar: tipo",IF(NOT(AND(ISNUMBER(F16),F16&gt;0)),"Revisar: cantidad",IF(AND(E16="Entrada",NOT(AND(ISNUMBER(G16),G16&gt;=0))),"Revisar: costo de compra",IF(AND(E16&lt;&gt;"Entrada",G16&lt;&gt;""),"Revisar: costo solo entrada","OK")))))))</x:f>
        <x:v>OK</x:v>
      </x:c>
    </x:row>
    <x:row r="17" ht="24" customHeight="1">
      <x:c r="A17" s="3"/>
      <x:c r="B17" s="25" t="n">
        <x:v>46297</x:v>
      </x:c>
      <x:c r="C17" s="24" t="str">
        <x:v>VEG02</x:v>
      </x:c>
      <x:c r="D17" s="3" t="str">
        <x:f>IF(AND(COUNTA(B17:C17)=0,COUNTA(E17:G17)=0,COUNTA(I17:J17)=0),"",IF(COUNTIFS('Inventario'!$B$14:$B$43,C17)=1,INDEX('Inventario'!$D$14:$D$43,MATCH(C17,'Inventario'!$B$14:$B$43,0)),"Revisar código"))</x:f>
        <x:v>kg</x:v>
      </x:c>
      <x:c r="E17" s="24" t="str">
        <x:v>Merma</x:v>
      </x:c>
      <x:c r="F17" s="41" t="n">
        <x:v>0.2</x:v>
      </x:c>
      <x:c r="G17" s="38"/>
      <x:c r="H17" s="16" t="n">
        <x:f>IF(AND(COUNTA(B17:C17)=0,COUNTA(E17:G17)=0,COUNTA(I17:J17)=0),"",IF(K17&lt;&gt;"OK","Revisar datos",IF(E17="Entrada",F17*G17,0)))</x:f>
        <x:v>0</x:v>
      </x:c>
      <x:c r="I17" s="24" t="str">
        <x:v>M-001</x:v>
      </x:c>
      <x:c r="J17" s="24" t="str">
        <x:v>Hojas descartadas</x:v>
      </x:c>
      <x:c r="K17" s="40" t="str">
        <x:f>IF(AND(COUNTA(B17:C17)=0,COUNTA(E17:G17)=0,COUNTA(I17:J17)=0),"",IF(NOT(AND(ISNUMBER(B17),B17&gt;0,B17=INT(B17))),"Revisar: fecha",IF(OR(COUNTIFS('Inventario'!$B$14:$B$43,C17)&lt;&gt;1,NOT(OR(D17="kg",D17="g",D17="l",D17="ml",D17="pza"))),"Revisar: código",IF(NOT(OR(E17="Entrada",E17="Salida",E17="Merma")),"Revisar: tipo",IF(NOT(AND(ISNUMBER(F17),F17&gt;0)),"Revisar: cantidad",IF(AND(E17="Entrada",NOT(AND(ISNUMBER(G17),G17&gt;=0))),"Revisar: costo de compra",IF(AND(E17&lt;&gt;"Entrada",G17&lt;&gt;""),"Revisar: costo solo entrada","OK")))))))</x:f>
        <x:v>OK</x:v>
      </x:c>
    </x:row>
    <x:row r="18" ht="24" customHeight="1">
      <x:c r="A18" s="3"/>
      <x:c r="B18" s="25" t="n">
        <x:v>46298</x:v>
      </x:c>
      <x:c r="C18" s="24" t="str">
        <x:v>VEG03</x:v>
      </x:c>
      <x:c r="D18" s="3" t="str">
        <x:f>IF(AND(COUNTA(B18:C18)=0,COUNTA(E18:G18)=0,COUNTA(I18:J18)=0),"",IF(COUNTIFS('Inventario'!$B$14:$B$43,C18)=1,INDEX('Inventario'!$D$14:$D$43,MATCH(C18,'Inventario'!$B$14:$B$43,0)),"Revisar código"))</x:f>
        <x:v>kg</x:v>
      </x:c>
      <x:c r="E18" s="24" t="str">
        <x:v>Salida</x:v>
      </x:c>
      <x:c r="F18" s="41" t="n">
        <x:v>2.5</x:v>
      </x:c>
      <x:c r="G18" s="38"/>
      <x:c r="H18" s="16" t="n">
        <x:f>IF(AND(COUNTA(B18:C18)=0,COUNTA(E18:G18)=0,COUNTA(I18:J18)=0),"",IF(K18&lt;&gt;"OK","Revisar datos",IF(E18="Entrada",F18*G18,0)))</x:f>
        <x:v>0</x:v>
      </x:c>
      <x:c r="I18" s="24" t="str">
        <x:v>S-003</x:v>
      </x:c>
      <x:c r="J18" s="24" t="str">
        <x:v>Producción</x:v>
      </x:c>
      <x:c r="K18" s="40" t="str">
        <x:f>IF(AND(COUNTA(B18:C18)=0,COUNTA(E18:G18)=0,COUNTA(I18:J18)=0),"",IF(NOT(AND(ISNUMBER(B18),B18&gt;0,B18=INT(B18))),"Revisar: fecha",IF(OR(COUNTIFS('Inventario'!$B$14:$B$43,C18)&lt;&gt;1,NOT(OR(D18="kg",D18="g",D18="l",D18="ml",D18="pza"))),"Revisar: código",IF(NOT(OR(E18="Entrada",E18="Salida",E18="Merma")),"Revisar: tipo",IF(NOT(AND(ISNUMBER(F18),F18&gt;0)),"Revisar: cantidad",IF(AND(E18="Entrada",NOT(AND(ISNUMBER(G18),G18&gt;=0))),"Revisar: costo de compra",IF(AND(E18&lt;&gt;"Entrada",G18&lt;&gt;""),"Revisar: costo solo entrada","OK")))))))</x:f>
        <x:v>OK</x:v>
      </x:c>
    </x:row>
    <x:row r="19" ht="24" customHeight="1">
      <x:c r="A19" s="3"/>
      <x:c r="B19" s="25" t="n">
        <x:v>46298</x:v>
      </x:c>
      <x:c r="C19" s="24" t="str">
        <x:v>ABA01</x:v>
      </x:c>
      <x:c r="D19" s="3" t="str">
        <x:f>IF(AND(COUNTA(B19:C19)=0,COUNTA(E19:G19)=0,COUNTA(I19:J19)=0),"",IF(COUNTIFS('Inventario'!$B$14:$B$43,C19)=1,INDEX('Inventario'!$D$14:$D$43,MATCH(C19,'Inventario'!$B$14:$B$43,0)),"Revisar código"))</x:f>
        <x:v>kg</x:v>
      </x:c>
      <x:c r="E19" s="24" t="str">
        <x:v>Salida</x:v>
      </x:c>
      <x:c r="F19" s="41" t="n">
        <x:v>4</x:v>
      </x:c>
      <x:c r="G19" s="38"/>
      <x:c r="H19" s="16" t="n">
        <x:f>IF(AND(COUNTA(B19:C19)=0,COUNTA(E19:G19)=0,COUNTA(I19:J19)=0),"",IF(K19&lt;&gt;"OK","Revisar datos",IF(E19="Entrada",F19*G19,0)))</x:f>
        <x:v>0</x:v>
      </x:c>
      <x:c r="I19" s="24" t="str">
        <x:v>S-004</x:v>
      </x:c>
      <x:c r="J19" s="24" t="str">
        <x:v>Producción</x:v>
      </x:c>
      <x:c r="K19" s="40" t="str">
        <x:f>IF(AND(COUNTA(B19:C19)=0,COUNTA(E19:G19)=0,COUNTA(I19:J19)=0),"",IF(NOT(AND(ISNUMBER(B19),B19&gt;0,B19=INT(B19))),"Revisar: fecha",IF(OR(COUNTIFS('Inventario'!$B$14:$B$43,C19)&lt;&gt;1,NOT(OR(D19="kg",D19="g",D19="l",D19="ml",D19="pza"))),"Revisar: código",IF(NOT(OR(E19="Entrada",E19="Salida",E19="Merma")),"Revisar: tipo",IF(NOT(AND(ISNUMBER(F19),F19&gt;0)),"Revisar: cantidad",IF(AND(E19="Entrada",NOT(AND(ISNUMBER(G19),G19&gt;=0))),"Revisar: costo de compra",IF(AND(E19&lt;&gt;"Entrada",G19&lt;&gt;""),"Revisar: costo solo entrada","OK")))))))</x:f>
        <x:v>OK</x:v>
      </x:c>
    </x:row>
    <x:row r="20" ht="24" customHeight="1">
      <x:c r="A20" s="3"/>
      <x:c r="B20" s="25" t="n">
        <x:v>46298</x:v>
      </x:c>
      <x:c r="C20" s="24" t="str">
        <x:v>ABA02</x:v>
      </x:c>
      <x:c r="D20" s="3" t="str">
        <x:f>IF(AND(COUNTA(B20:C20)=0,COUNTA(E20:G20)=0,COUNTA(I20:J20)=0),"",IF(COUNTIFS('Inventario'!$B$14:$B$43,C20)=1,INDEX('Inventario'!$D$14:$D$43,MATCH(C20,'Inventario'!$B$14:$B$43,0)),"Revisar código"))</x:f>
        <x:v>kg</x:v>
      </x:c>
      <x:c r="E20" s="24" t="str">
        <x:v>Salida</x:v>
      </x:c>
      <x:c r="F20" s="41" t="n">
        <x:v>3</x:v>
      </x:c>
      <x:c r="G20" s="38"/>
      <x:c r="H20" s="16" t="n">
        <x:f>IF(AND(COUNTA(B20:C20)=0,COUNTA(E20:G20)=0,COUNTA(I20:J20)=0),"",IF(K20&lt;&gt;"OK","Revisar datos",IF(E20="Entrada",F20*G20,0)))</x:f>
        <x:v>0</x:v>
      </x:c>
      <x:c r="I20" s="24" t="str">
        <x:v>S-005</x:v>
      </x:c>
      <x:c r="J20" s="24" t="str">
        <x:v>Bebidas</x:v>
      </x:c>
      <x:c r="K20" s="40" t="str">
        <x:f>IF(AND(COUNTA(B20:C20)=0,COUNTA(E20:G20)=0,COUNTA(I20:J20)=0),"",IF(NOT(AND(ISNUMBER(B20),B20&gt;0,B20=INT(B20))),"Revisar: fecha",IF(OR(COUNTIFS('Inventario'!$B$14:$B$43,C20)&lt;&gt;1,NOT(OR(D20="kg",D20="g",D20="l",D20="ml",D20="pza"))),"Revisar: código",IF(NOT(OR(E20="Entrada",E20="Salida",E20="Merma")),"Revisar: tipo",IF(NOT(AND(ISNUMBER(F20),F20&gt;0)),"Revisar: cantidad",IF(AND(E20="Entrada",NOT(AND(ISNUMBER(G20),G20&gt;=0))),"Revisar: costo de compra",IF(AND(E20&lt;&gt;"Entrada",G20&lt;&gt;""),"Revisar: costo solo entrada","OK")))))))</x:f>
        <x:v>OK</x:v>
      </x:c>
    </x:row>
    <x:row r="21" ht="24" customHeight="1">
      <x:c r="A21" s="3"/>
      <x:c r="B21" s="25" t="n">
        <x:v>46296</x:v>
      </x:c>
      <x:c r="C21" s="24" t="str">
        <x:v>BEB01</x:v>
      </x:c>
      <x:c r="D21" s="3" t="str">
        <x:f>IF(AND(COUNTA(B21:C21)=0,COUNTA(E21:G21)=0,COUNTA(I21:J21)=0),"",IF(COUNTIFS('Inventario'!$B$14:$B$43,C21)=1,INDEX('Inventario'!$D$14:$D$43,MATCH(C21,'Inventario'!$B$14:$B$43,0)),"Revisar código"))</x:f>
        <x:v>l</x:v>
      </x:c>
      <x:c r="E21" s="24" t="str">
        <x:v>Entrada</x:v>
      </x:c>
      <x:c r="F21" s="41" t="n">
        <x:v>20</x:v>
      </x:c>
      <x:c r="G21" s="38" t="n">
        <x:v>2</x:v>
      </x:c>
      <x:c r="H21" s="16" t="n">
        <x:f>IF(AND(COUNTA(B21:C21)=0,COUNTA(E21:G21)=0,COUNTA(I21:J21)=0),"",IF(K21&lt;&gt;"OK","Revisar datos",IF(E21="Entrada",F21*G21,0)))</x:f>
        <x:v>40</x:v>
      </x:c>
      <x:c r="I21" s="24" t="str">
        <x:v>C-002</x:v>
      </x:c>
      <x:c r="J21" s="24" t="str">
        <x:v>Recepción</x:v>
      </x:c>
      <x:c r="K21" s="40" t="str">
        <x:f>IF(AND(COUNTA(B21:C21)=0,COUNTA(E21:G21)=0,COUNTA(I21:J21)=0),"",IF(NOT(AND(ISNUMBER(B21),B21&gt;0,B21=INT(B21))),"Revisar: fecha",IF(OR(COUNTIFS('Inventario'!$B$14:$B$43,C21)&lt;&gt;1,NOT(OR(D21="kg",D21="g",D21="l",D21="ml",D21="pza"))),"Revisar: código",IF(NOT(OR(E21="Entrada",E21="Salida",E21="Merma")),"Revisar: tipo",IF(NOT(AND(ISNUMBER(F21),F21&gt;0)),"Revisar: cantidad",IF(AND(E21="Entrada",NOT(AND(ISNUMBER(G21),G21&gt;=0))),"Revisar: costo de compra",IF(AND(E21&lt;&gt;"Entrada",G21&lt;&gt;""),"Revisar: costo solo entrada","OK")))))))</x:f>
        <x:v>OK</x:v>
      </x:c>
    </x:row>
    <x:row r="22" ht="24" customHeight="1">
      <x:c r="A22" s="3"/>
      <x:c r="B22" s="25" t="n">
        <x:v>46299</x:v>
      </x:c>
      <x:c r="C22" s="24" t="str">
        <x:v>BEB01</x:v>
      </x:c>
      <x:c r="D22" s="3" t="str">
        <x:f>IF(AND(COUNTA(B22:C22)=0,COUNTA(E22:G22)=0,COUNTA(I22:J22)=0),"",IF(COUNTIFS('Inventario'!$B$14:$B$43,C22)=1,INDEX('Inventario'!$D$14:$D$43,MATCH(C22,'Inventario'!$B$14:$B$43,0)),"Revisar código"))</x:f>
        <x:v>l</x:v>
      </x:c>
      <x:c r="E22" s="24" t="str">
        <x:v>Salida</x:v>
      </x:c>
      <x:c r="F22" s="41" t="n">
        <x:v>38</x:v>
      </x:c>
      <x:c r="G22" s="38"/>
      <x:c r="H22" s="16" t="n">
        <x:f>IF(AND(COUNTA(B22:C22)=0,COUNTA(E22:G22)=0,COUNTA(I22:J22)=0),"",IF(K22&lt;&gt;"OK","Revisar datos",IF(E22="Entrada",F22*G22,0)))</x:f>
        <x:v>0</x:v>
      </x:c>
      <x:c r="I22" s="24" t="str">
        <x:v>S-006</x:v>
      </x:c>
      <x:c r="J22" s="24" t="str">
        <x:v>Bebidas</x:v>
      </x:c>
      <x:c r="K22" s="40" t="str">
        <x:f>IF(AND(COUNTA(B22:C22)=0,COUNTA(E22:G22)=0,COUNTA(I22:J22)=0),"",IF(NOT(AND(ISNUMBER(B22),B22&gt;0,B22=INT(B22))),"Revisar: fecha",IF(OR(COUNTIFS('Inventario'!$B$14:$B$43,C22)&lt;&gt;1,NOT(OR(D22="kg",D22="g",D22="l",D22="ml",D22="pza"))),"Revisar: código",IF(NOT(OR(E22="Entrada",E22="Salida",E22="Merma")),"Revisar: tipo",IF(NOT(AND(ISNUMBER(F22),F22&gt;0)),"Revisar: cantidad",IF(AND(E22="Entrada",NOT(AND(ISNUMBER(G22),G22&gt;=0))),"Revisar: costo de compra",IF(AND(E22&lt;&gt;"Entrada",G22&lt;&gt;""),"Revisar: costo solo entrada","OK")))))))</x:f>
        <x:v>OK</x:v>
      </x:c>
    </x:row>
    <x:row r="23" ht="24" customHeight="1">
      <x:c r="A23" s="3"/>
      <x:c r="B23" s="25" t="n">
        <x:v>46296</x:v>
      </x:c>
      <x:c r="C23" s="24" t="str">
        <x:v>BEB02</x:v>
      </x:c>
      <x:c r="D23" s="3" t="str">
        <x:f>IF(AND(COUNTA(B23:C23)=0,COUNTA(E23:G23)=0,COUNTA(I23:J23)=0),"",IF(COUNTIFS('Inventario'!$B$14:$B$43,C23)=1,INDEX('Inventario'!$D$14:$D$43,MATCH(C23,'Inventario'!$B$14:$B$43,0)),"Revisar código"))</x:f>
        <x:v>kg</x:v>
      </x:c>
      <x:c r="E23" s="24" t="str">
        <x:v>Entrada</x:v>
      </x:c>
      <x:c r="F23" s="41" t="n">
        <x:v>5</x:v>
      </x:c>
      <x:c r="G23" s="38" t="n">
        <x:v>60</x:v>
      </x:c>
      <x:c r="H23" s="16" t="n">
        <x:f>IF(AND(COUNTA(B23:C23)=0,COUNTA(E23:G23)=0,COUNTA(I23:J23)=0),"",IF(K23&lt;&gt;"OK","Revisar datos",IF(E23="Entrada",F23*G23,0)))</x:f>
        <x:v>300</x:v>
      </x:c>
      <x:c r="I23" s="24" t="str">
        <x:v>C-003</x:v>
      </x:c>
      <x:c r="J23" s="24" t="str">
        <x:v>Compra semanal</x:v>
      </x:c>
      <x:c r="K23" s="40" t="str">
        <x:f>IF(AND(COUNTA(B23:C23)=0,COUNTA(E23:G23)=0,COUNTA(I23:J23)=0),"",IF(NOT(AND(ISNUMBER(B23),B23&gt;0,B23=INT(B23))),"Revisar: fecha",IF(OR(COUNTIFS('Inventario'!$B$14:$B$43,C23)&lt;&gt;1,NOT(OR(D23="kg",D23="g",D23="l",D23="ml",D23="pza"))),"Revisar: código",IF(NOT(OR(E23="Entrada",E23="Salida",E23="Merma")),"Revisar: tipo",IF(NOT(AND(ISNUMBER(F23),F23&gt;0)),"Revisar: cantidad",IF(AND(E23="Entrada",NOT(AND(ISNUMBER(G23),G23&gt;=0))),"Revisar: costo de compra",IF(AND(E23&lt;&gt;"Entrada",G23&lt;&gt;""),"Revisar: costo solo entrada","OK")))))))</x:f>
        <x:v>OK</x:v>
      </x:c>
    </x:row>
    <x:row r="24" ht="24" customHeight="1">
      <x:c r="A24" s="3"/>
      <x:c r="B24" s="25" t="n">
        <x:v>46299</x:v>
      </x:c>
      <x:c r="C24" s="24" t="str">
        <x:v>BEB02</x:v>
      </x:c>
      <x:c r="D24" s="3" t="str">
        <x:f>IF(AND(COUNTA(B24:C24)=0,COUNTA(E24:G24)=0,COUNTA(I24:J24)=0),"",IF(COUNTIFS('Inventario'!$B$14:$B$43,C24)=1,INDEX('Inventario'!$D$14:$D$43,MATCH(C24,'Inventario'!$B$14:$B$43,0)),"Revisar código"))</x:f>
        <x:v>kg</x:v>
      </x:c>
      <x:c r="E24" s="24" t="str">
        <x:v>Salida</x:v>
      </x:c>
      <x:c r="F24" s="41" t="n">
        <x:v>9</x:v>
      </x:c>
      <x:c r="G24" s="38"/>
      <x:c r="H24" s="16" t="n">
        <x:f>IF(AND(COUNTA(B24:C24)=0,COUNTA(E24:G24)=0,COUNTA(I24:J24)=0),"",IF(K24&lt;&gt;"OK","Revisar datos",IF(E24="Entrada",F24*G24,0)))</x:f>
        <x:v>0</x:v>
      </x:c>
      <x:c r="I24" s="24" t="str">
        <x:v>S-007</x:v>
      </x:c>
      <x:c r="J24" s="24" t="str">
        <x:v>Bebidas</x:v>
      </x:c>
      <x:c r="K24" s="40" t="str">
        <x:f>IF(AND(COUNTA(B24:C24)=0,COUNTA(E24:G24)=0,COUNTA(I24:J24)=0),"",IF(NOT(AND(ISNUMBER(B24),B24&gt;0,B24=INT(B24))),"Revisar: fecha",IF(OR(COUNTIFS('Inventario'!$B$14:$B$43,C24)&lt;&gt;1,NOT(OR(D24="kg",D24="g",D24="l",D24="ml",D24="pza"))),"Revisar: código",IF(NOT(OR(E24="Entrada",E24="Salida",E24="Merma")),"Revisar: tipo",IF(NOT(AND(ISNUMBER(F24),F24&gt;0)),"Revisar: cantidad",IF(AND(E24="Entrada",NOT(AND(ISNUMBER(G24),G24&gt;=0))),"Revisar: costo de compra",IF(AND(E24&lt;&gt;"Entrada",G24&lt;&gt;""),"Revisar: costo solo entrada","OK")))))))</x:f>
        <x:v>OK</x:v>
      </x:c>
    </x:row>
    <x:row r="25" ht="24" customHeight="1">
      <x:c r="A25" s="3"/>
      <x:c r="B25" s="25" t="n">
        <x:v>46299</x:v>
      </x:c>
      <x:c r="C25" s="24" t="str">
        <x:v>BEB02</x:v>
      </x:c>
      <x:c r="D25" s="3" t="str">
        <x:f>IF(AND(COUNTA(B25:C25)=0,COUNTA(E25:G25)=0,COUNTA(I25:J25)=0),"",IF(COUNTIFS('Inventario'!$B$14:$B$43,C25)=1,INDEX('Inventario'!$D$14:$D$43,MATCH(C25,'Inventario'!$B$14:$B$43,0)),"Revisar código"))</x:f>
        <x:v>kg</x:v>
      </x:c>
      <x:c r="E25" s="24" t="str">
        <x:v>Merma</x:v>
      </x:c>
      <x:c r="F25" s="41" t="n">
        <x:v>0.5</x:v>
      </x:c>
      <x:c r="G25" s="38"/>
      <x:c r="H25" s="16" t="n">
        <x:f>IF(AND(COUNTA(B25:C25)=0,COUNTA(E25:G25)=0,COUNTA(I25:J25)=0),"",IF(K25&lt;&gt;"OK","Revisar datos",IF(E25="Entrada",F25*G25,0)))</x:f>
        <x:v>0</x:v>
      </x:c>
      <x:c r="I25" s="24" t="str">
        <x:v>M-002</x:v>
      </x:c>
      <x:c r="J25" s="24" t="str">
        <x:v>Daño en recepción</x:v>
      </x:c>
      <x:c r="K25" s="40" t="str">
        <x:f>IF(AND(COUNTA(B25:C25)=0,COUNTA(E25:G25)=0,COUNTA(I25:J25)=0),"",IF(NOT(AND(ISNUMBER(B25),B25&gt;0,B25=INT(B25))),"Revisar: fecha",IF(OR(COUNTIFS('Inventario'!$B$14:$B$43,C25)&lt;&gt;1,NOT(OR(D25="kg",D25="g",D25="l",D25="ml",D25="pza"))),"Revisar: código",IF(NOT(OR(E25="Entrada",E25="Salida",E25="Merma")),"Revisar: tipo",IF(NOT(AND(ISNUMBER(F25),F25&gt;0)),"Revisar: cantidad",IF(AND(E25="Entrada",NOT(AND(ISNUMBER(G25),G25&gt;=0))),"Revisar: costo de compra",IF(AND(E25&lt;&gt;"Entrada",G25&lt;&gt;""),"Revisar: costo solo entrada","OK")))))))</x:f>
        <x:v>OK</x:v>
      </x:c>
    </x:row>
    <x:row r="26" ht="24" customHeight="1">
      <x:c r="A26" s="3"/>
      <x:c r="B26" s="25" t="n">
        <x:v>46299</x:v>
      </x:c>
      <x:c r="C26" s="24" t="str">
        <x:v>EMP01</x:v>
      </x:c>
      <x:c r="D26" s="3" t="str">
        <x:f>IF(AND(COUNTA(B26:C26)=0,COUNTA(E26:G26)=0,COUNTA(I26:J26)=0),"",IF(COUNTIFS('Inventario'!$B$14:$B$43,C26)=1,INDEX('Inventario'!$D$14:$D$43,MATCH(C26,'Inventario'!$B$14:$B$43,0)),"Revisar código"))</x:f>
        <x:v>pza</x:v>
      </x:c>
      <x:c r="E26" s="24" t="str">
        <x:v>Salida</x:v>
      </x:c>
      <x:c r="F26" s="41" t="n">
        <x:v>90</x:v>
      </x:c>
      <x:c r="G26" s="38"/>
      <x:c r="H26" s="16" t="n">
        <x:f>IF(AND(COUNTA(B26:C26)=0,COUNTA(E26:G26)=0,COUNTA(I26:J26)=0),"",IF(K26&lt;&gt;"OK","Revisar datos",IF(E26="Entrada",F26*G26,0)))</x:f>
        <x:v>0</x:v>
      </x:c>
      <x:c r="I26" s="24" t="str">
        <x:v>S-008</x:v>
      </x:c>
      <x:c r="J26" s="24" t="str">
        <x:v>Servicio</x:v>
      </x:c>
      <x:c r="K26" s="40" t="str">
        <x:f>IF(AND(COUNTA(B26:C26)=0,COUNTA(E26:G26)=0,COUNTA(I26:J26)=0),"",IF(NOT(AND(ISNUMBER(B26),B26&gt;0,B26=INT(B26))),"Revisar: fecha",IF(OR(COUNTIFS('Inventario'!$B$14:$B$43,C26)&lt;&gt;1,NOT(OR(D26="kg",D26="g",D26="l",D26="ml",D26="pza"))),"Revisar: código",IF(NOT(OR(E26="Entrada",E26="Salida",E26="Merma")),"Revisar: tipo",IF(NOT(AND(ISNUMBER(F26),F26&gt;0)),"Revisar: cantidad",IF(AND(E26="Entrada",NOT(AND(ISNUMBER(G26),G26&gt;=0))),"Revisar: costo de compra",IF(AND(E26&lt;&gt;"Entrada",G26&lt;&gt;""),"Revisar: costo solo entrada","OK")))))))</x:f>
        <x:v>OK</x:v>
      </x:c>
    </x:row>
    <x:row r="27" ht="24" customHeight="1">
      <x:c r="A27" s="3"/>
      <x:c r="B27" s="25"/>
      <x:c r="C27" s="24"/>
      <x:c r="D27" s="3" t="str">
        <x:f>IF(AND(COUNTA(B27:C27)=0,COUNTA(E27:G27)=0,COUNTA(I27:J27)=0),"",IF(COUNTIFS('Inventario'!$B$14:$B$43,C27)=1,INDEX('Inventario'!$D$14:$D$43,MATCH(C27,'Inventario'!$B$14:$B$43,0)),"Revisar código"))</x:f>
      </x:c>
      <x:c r="E27" s="24"/>
      <x:c r="F27" s="41"/>
      <x:c r="G27" s="38"/>
      <x:c r="H27" s="16" t="str">
        <x:f>IF(AND(COUNTA(B27:C27)=0,COUNTA(E27:G27)=0,COUNTA(I27:J27)=0),"",IF(K27&lt;&gt;"OK","Revisar datos",IF(E27="Entrada",F27*G27,0)))</x:f>
      </x:c>
      <x:c r="I27" s="24"/>
      <x:c r="J27" s="24"/>
      <x:c r="K27" s="40" t="str">
        <x:f>IF(AND(COUNTA(B27:C27)=0,COUNTA(E27:G27)=0,COUNTA(I27:J27)=0),"",IF(NOT(AND(ISNUMBER(B27),B27&gt;0,B27=INT(B27))),"Revisar: fecha",IF(OR(COUNTIFS('Inventario'!$B$14:$B$43,C27)&lt;&gt;1,NOT(OR(D27="kg",D27="g",D27="l",D27="ml",D27="pza"))),"Revisar: código",IF(NOT(OR(E27="Entrada",E27="Salida",E27="Merma")),"Revisar: tipo",IF(NOT(AND(ISNUMBER(F27),F27&gt;0)),"Revisar: cantidad",IF(AND(E27="Entrada",NOT(AND(ISNUMBER(G27),G27&gt;=0))),"Revisar: costo de compra",IF(AND(E27&lt;&gt;"Entrada",G27&lt;&gt;""),"Revisar: costo solo entrada","OK")))))))</x:f>
      </x:c>
    </x:row>
    <x:row r="28" ht="24" customHeight="1">
      <x:c r="A28" s="3"/>
      <x:c r="B28" s="25"/>
      <x:c r="C28" s="24"/>
      <x:c r="D28" s="3" t="str">
        <x:f>IF(AND(COUNTA(B28:C28)=0,COUNTA(E28:G28)=0,COUNTA(I28:J28)=0),"",IF(COUNTIFS('Inventario'!$B$14:$B$43,C28)=1,INDEX('Inventario'!$D$14:$D$43,MATCH(C28,'Inventario'!$B$14:$B$43,0)),"Revisar código"))</x:f>
      </x:c>
      <x:c r="E28" s="24"/>
      <x:c r="F28" s="41"/>
      <x:c r="G28" s="38"/>
      <x:c r="H28" s="16" t="str">
        <x:f>IF(AND(COUNTA(B28:C28)=0,COUNTA(E28:G28)=0,COUNTA(I28:J28)=0),"",IF(K28&lt;&gt;"OK","Revisar datos",IF(E28="Entrada",F28*G28,0)))</x:f>
      </x:c>
      <x:c r="I28" s="24"/>
      <x:c r="J28" s="24"/>
      <x:c r="K28" s="40" t="str">
        <x:f>IF(AND(COUNTA(B28:C28)=0,COUNTA(E28:G28)=0,COUNTA(I28:J28)=0),"",IF(NOT(AND(ISNUMBER(B28),B28&gt;0,B28=INT(B28))),"Revisar: fecha",IF(OR(COUNTIFS('Inventario'!$B$14:$B$43,C28)&lt;&gt;1,NOT(OR(D28="kg",D28="g",D28="l",D28="ml",D28="pza"))),"Revisar: código",IF(NOT(OR(E28="Entrada",E28="Salida",E28="Merma")),"Revisar: tipo",IF(NOT(AND(ISNUMBER(F28),F28&gt;0)),"Revisar: cantidad",IF(AND(E28="Entrada",NOT(AND(ISNUMBER(G28),G28&gt;=0))),"Revisar: costo de compra",IF(AND(E28&lt;&gt;"Entrada",G28&lt;&gt;""),"Revisar: costo solo entrada","OK")))))))</x:f>
      </x:c>
    </x:row>
    <x:row r="29" ht="24" customHeight="1">
      <x:c r="A29" s="3"/>
      <x:c r="B29" s="25"/>
      <x:c r="C29" s="24"/>
      <x:c r="D29" s="3" t="str">
        <x:f>IF(AND(COUNTA(B29:C29)=0,COUNTA(E29:G29)=0,COUNTA(I29:J29)=0),"",IF(COUNTIFS('Inventario'!$B$14:$B$43,C29)=1,INDEX('Inventario'!$D$14:$D$43,MATCH(C29,'Inventario'!$B$14:$B$43,0)),"Revisar código"))</x:f>
      </x:c>
      <x:c r="E29" s="24"/>
      <x:c r="F29" s="41"/>
      <x:c r="G29" s="38"/>
      <x:c r="H29" s="16" t="str">
        <x:f>IF(AND(COUNTA(B29:C29)=0,COUNTA(E29:G29)=0,COUNTA(I29:J29)=0),"",IF(K29&lt;&gt;"OK","Revisar datos",IF(E29="Entrada",F29*G29,0)))</x:f>
      </x:c>
      <x:c r="I29" s="24"/>
      <x:c r="J29" s="24"/>
      <x:c r="K29" s="40" t="str">
        <x:f>IF(AND(COUNTA(B29:C29)=0,COUNTA(E29:G29)=0,COUNTA(I29:J29)=0),"",IF(NOT(AND(ISNUMBER(B29),B29&gt;0,B29=INT(B29))),"Revisar: fecha",IF(OR(COUNTIFS('Inventario'!$B$14:$B$43,C29)&lt;&gt;1,NOT(OR(D29="kg",D29="g",D29="l",D29="ml",D29="pza"))),"Revisar: código",IF(NOT(OR(E29="Entrada",E29="Salida",E29="Merma")),"Revisar: tipo",IF(NOT(AND(ISNUMBER(F29),F29&gt;0)),"Revisar: cantidad",IF(AND(E29="Entrada",NOT(AND(ISNUMBER(G29),G29&gt;=0))),"Revisar: costo de compra",IF(AND(E29&lt;&gt;"Entrada",G29&lt;&gt;""),"Revisar: costo solo entrada","OK")))))))</x:f>
      </x:c>
    </x:row>
    <x:row r="30" ht="24" customHeight="1">
      <x:c r="A30" s="3"/>
      <x:c r="B30" s="25"/>
      <x:c r="C30" s="24"/>
      <x:c r="D30" s="3" t="str">
        <x:f>IF(AND(COUNTA(B30:C30)=0,COUNTA(E30:G30)=0,COUNTA(I30:J30)=0),"",IF(COUNTIFS('Inventario'!$B$14:$B$43,C30)=1,INDEX('Inventario'!$D$14:$D$43,MATCH(C30,'Inventario'!$B$14:$B$43,0)),"Revisar código"))</x:f>
      </x:c>
      <x:c r="E30" s="24"/>
      <x:c r="F30" s="41"/>
      <x:c r="G30" s="38"/>
      <x:c r="H30" s="16" t="str">
        <x:f>IF(AND(COUNTA(B30:C30)=0,COUNTA(E30:G30)=0,COUNTA(I30:J30)=0),"",IF(K30&lt;&gt;"OK","Revisar datos",IF(E30="Entrada",F30*G30,0)))</x:f>
      </x:c>
      <x:c r="I30" s="24"/>
      <x:c r="J30" s="24"/>
      <x:c r="K30" s="40" t="str">
        <x:f>IF(AND(COUNTA(B30:C30)=0,COUNTA(E30:G30)=0,COUNTA(I30:J30)=0),"",IF(NOT(AND(ISNUMBER(B30),B30&gt;0,B30=INT(B30))),"Revisar: fecha",IF(OR(COUNTIFS('Inventario'!$B$14:$B$43,C30)&lt;&gt;1,NOT(OR(D30="kg",D30="g",D30="l",D30="ml",D30="pza"))),"Revisar: código",IF(NOT(OR(E30="Entrada",E30="Salida",E30="Merma")),"Revisar: tipo",IF(NOT(AND(ISNUMBER(F30),F30&gt;0)),"Revisar: cantidad",IF(AND(E30="Entrada",NOT(AND(ISNUMBER(G30),G30&gt;=0))),"Revisar: costo de compra",IF(AND(E30&lt;&gt;"Entrada",G30&lt;&gt;""),"Revisar: costo solo entrada","OK")))))))</x:f>
      </x:c>
    </x:row>
    <x:row r="31" ht="24" customHeight="1">
      <x:c r="A31" s="3"/>
      <x:c r="B31" s="25"/>
      <x:c r="C31" s="24"/>
      <x:c r="D31" s="3" t="str">
        <x:f>IF(AND(COUNTA(B31:C31)=0,COUNTA(E31:G31)=0,COUNTA(I31:J31)=0),"",IF(COUNTIFS('Inventario'!$B$14:$B$43,C31)=1,INDEX('Inventario'!$D$14:$D$43,MATCH(C31,'Inventario'!$B$14:$B$43,0)),"Revisar código"))</x:f>
      </x:c>
      <x:c r="E31" s="24"/>
      <x:c r="F31" s="41"/>
      <x:c r="G31" s="38"/>
      <x:c r="H31" s="16" t="str">
        <x:f>IF(AND(COUNTA(B31:C31)=0,COUNTA(E31:G31)=0,COUNTA(I31:J31)=0),"",IF(K31&lt;&gt;"OK","Revisar datos",IF(E31="Entrada",F31*G31,0)))</x:f>
      </x:c>
      <x:c r="I31" s="24"/>
      <x:c r="J31" s="24"/>
      <x:c r="K31" s="40" t="str">
        <x:f>IF(AND(COUNTA(B31:C31)=0,COUNTA(E31:G31)=0,COUNTA(I31:J31)=0),"",IF(NOT(AND(ISNUMBER(B31),B31&gt;0,B31=INT(B31))),"Revisar: fecha",IF(OR(COUNTIFS('Inventario'!$B$14:$B$43,C31)&lt;&gt;1,NOT(OR(D31="kg",D31="g",D31="l",D31="ml",D31="pza"))),"Revisar: código",IF(NOT(OR(E31="Entrada",E31="Salida",E31="Merma")),"Revisar: tipo",IF(NOT(AND(ISNUMBER(F31),F31&gt;0)),"Revisar: cantidad",IF(AND(E31="Entrada",NOT(AND(ISNUMBER(G31),G31&gt;=0))),"Revisar: costo de compra",IF(AND(E31&lt;&gt;"Entrada",G31&lt;&gt;""),"Revisar: costo solo entrada","OK")))))))</x:f>
      </x:c>
    </x:row>
    <x:row r="32" ht="24" customHeight="1">
      <x:c r="A32" s="3"/>
      <x:c r="B32" s="25"/>
      <x:c r="C32" s="24"/>
      <x:c r="D32" s="3" t="str">
        <x:f>IF(AND(COUNTA(B32:C32)=0,COUNTA(E32:G32)=0,COUNTA(I32:J32)=0),"",IF(COUNTIFS('Inventario'!$B$14:$B$43,C32)=1,INDEX('Inventario'!$D$14:$D$43,MATCH(C32,'Inventario'!$B$14:$B$43,0)),"Revisar código"))</x:f>
      </x:c>
      <x:c r="E32" s="24"/>
      <x:c r="F32" s="41"/>
      <x:c r="G32" s="38"/>
      <x:c r="H32" s="16" t="str">
        <x:f>IF(AND(COUNTA(B32:C32)=0,COUNTA(E32:G32)=0,COUNTA(I32:J32)=0),"",IF(K32&lt;&gt;"OK","Revisar datos",IF(E32="Entrada",F32*G32,0)))</x:f>
      </x:c>
      <x:c r="I32" s="24"/>
      <x:c r="J32" s="24"/>
      <x:c r="K32" s="40" t="str">
        <x:f>IF(AND(COUNTA(B32:C32)=0,COUNTA(E32:G32)=0,COUNTA(I32:J32)=0),"",IF(NOT(AND(ISNUMBER(B32),B32&gt;0,B32=INT(B32))),"Revisar: fecha",IF(OR(COUNTIFS('Inventario'!$B$14:$B$43,C32)&lt;&gt;1,NOT(OR(D32="kg",D32="g",D32="l",D32="ml",D32="pza"))),"Revisar: código",IF(NOT(OR(E32="Entrada",E32="Salida",E32="Merma")),"Revisar: tipo",IF(NOT(AND(ISNUMBER(F32),F32&gt;0)),"Revisar: cantidad",IF(AND(E32="Entrada",NOT(AND(ISNUMBER(G32),G32&gt;=0))),"Revisar: costo de compra",IF(AND(E32&lt;&gt;"Entrada",G32&lt;&gt;""),"Revisar: costo solo entrada","OK")))))))</x:f>
      </x:c>
    </x:row>
    <x:row r="33" ht="24" customHeight="1">
      <x:c r="A33" s="3"/>
      <x:c r="B33" s="25"/>
      <x:c r="C33" s="24"/>
      <x:c r="D33" s="3" t="str">
        <x:f>IF(AND(COUNTA(B33:C33)=0,COUNTA(E33:G33)=0,COUNTA(I33:J33)=0),"",IF(COUNTIFS('Inventario'!$B$14:$B$43,C33)=1,INDEX('Inventario'!$D$14:$D$43,MATCH(C33,'Inventario'!$B$14:$B$43,0)),"Revisar código"))</x:f>
      </x:c>
      <x:c r="E33" s="24"/>
      <x:c r="F33" s="41"/>
      <x:c r="G33" s="38"/>
      <x:c r="H33" s="16" t="str">
        <x:f>IF(AND(COUNTA(B33:C33)=0,COUNTA(E33:G33)=0,COUNTA(I33:J33)=0),"",IF(K33&lt;&gt;"OK","Revisar datos",IF(E33="Entrada",F33*G33,0)))</x:f>
      </x:c>
      <x:c r="I33" s="24"/>
      <x:c r="J33" s="24"/>
      <x:c r="K33" s="40" t="str">
        <x:f>IF(AND(COUNTA(B33:C33)=0,COUNTA(E33:G33)=0,COUNTA(I33:J33)=0),"",IF(NOT(AND(ISNUMBER(B33),B33&gt;0,B33=INT(B33))),"Revisar: fecha",IF(OR(COUNTIFS('Inventario'!$B$14:$B$43,C33)&lt;&gt;1,NOT(OR(D33="kg",D33="g",D33="l",D33="ml",D33="pza"))),"Revisar: código",IF(NOT(OR(E33="Entrada",E33="Salida",E33="Merma")),"Revisar: tipo",IF(NOT(AND(ISNUMBER(F33),F33&gt;0)),"Revisar: cantidad",IF(AND(E33="Entrada",NOT(AND(ISNUMBER(G33),G33&gt;=0))),"Revisar: costo de compra",IF(AND(E33&lt;&gt;"Entrada",G33&lt;&gt;""),"Revisar: costo solo entrada","OK")))))))</x:f>
      </x:c>
    </x:row>
    <x:row r="34" ht="24" customHeight="1">
      <x:c r="A34" s="3"/>
      <x:c r="B34" s="25"/>
      <x:c r="C34" s="24"/>
      <x:c r="D34" s="3" t="str">
        <x:f>IF(AND(COUNTA(B34:C34)=0,COUNTA(E34:G34)=0,COUNTA(I34:J34)=0),"",IF(COUNTIFS('Inventario'!$B$14:$B$43,C34)=1,INDEX('Inventario'!$D$14:$D$43,MATCH(C34,'Inventario'!$B$14:$B$43,0)),"Revisar código"))</x:f>
      </x:c>
      <x:c r="E34" s="24"/>
      <x:c r="F34" s="41"/>
      <x:c r="G34" s="38"/>
      <x:c r="H34" s="16" t="str">
        <x:f>IF(AND(COUNTA(B34:C34)=0,COUNTA(E34:G34)=0,COUNTA(I34:J34)=0),"",IF(K34&lt;&gt;"OK","Revisar datos",IF(E34="Entrada",F34*G34,0)))</x:f>
      </x:c>
      <x:c r="I34" s="24"/>
      <x:c r="J34" s="24"/>
      <x:c r="K34" s="40" t="str">
        <x:f>IF(AND(COUNTA(B34:C34)=0,COUNTA(E34:G34)=0,COUNTA(I34:J34)=0),"",IF(NOT(AND(ISNUMBER(B34),B34&gt;0,B34=INT(B34))),"Revisar: fecha",IF(OR(COUNTIFS('Inventario'!$B$14:$B$43,C34)&lt;&gt;1,NOT(OR(D34="kg",D34="g",D34="l",D34="ml",D34="pza"))),"Revisar: código",IF(NOT(OR(E34="Entrada",E34="Salida",E34="Merma")),"Revisar: tipo",IF(NOT(AND(ISNUMBER(F34),F34&gt;0)),"Revisar: cantidad",IF(AND(E34="Entrada",NOT(AND(ISNUMBER(G34),G34&gt;=0))),"Revisar: costo de compra",IF(AND(E34&lt;&gt;"Entrada",G34&lt;&gt;""),"Revisar: costo solo entrada","OK")))))))</x:f>
      </x:c>
    </x:row>
    <x:row r="35" ht="24" customHeight="1">
      <x:c r="A35" s="3"/>
      <x:c r="B35" s="25"/>
      <x:c r="C35" s="24"/>
      <x:c r="D35" s="3" t="str">
        <x:f>IF(AND(COUNTA(B35:C35)=0,COUNTA(E35:G35)=0,COUNTA(I35:J35)=0),"",IF(COUNTIFS('Inventario'!$B$14:$B$43,C35)=1,INDEX('Inventario'!$D$14:$D$43,MATCH(C35,'Inventario'!$B$14:$B$43,0)),"Revisar código"))</x:f>
      </x:c>
      <x:c r="E35" s="24"/>
      <x:c r="F35" s="41"/>
      <x:c r="G35" s="38"/>
      <x:c r="H35" s="16" t="str">
        <x:f>IF(AND(COUNTA(B35:C35)=0,COUNTA(E35:G35)=0,COUNTA(I35:J35)=0),"",IF(K35&lt;&gt;"OK","Revisar datos",IF(E35="Entrada",F35*G35,0)))</x:f>
      </x:c>
      <x:c r="I35" s="24"/>
      <x:c r="J35" s="24"/>
      <x:c r="K35" s="40" t="str">
        <x:f>IF(AND(COUNTA(B35:C35)=0,COUNTA(E35:G35)=0,COUNTA(I35:J35)=0),"",IF(NOT(AND(ISNUMBER(B35),B35&gt;0,B35=INT(B35))),"Revisar: fecha",IF(OR(COUNTIFS('Inventario'!$B$14:$B$43,C35)&lt;&gt;1,NOT(OR(D35="kg",D35="g",D35="l",D35="ml",D35="pza"))),"Revisar: código",IF(NOT(OR(E35="Entrada",E35="Salida",E35="Merma")),"Revisar: tipo",IF(NOT(AND(ISNUMBER(F35),F35&gt;0)),"Revisar: cantidad",IF(AND(E35="Entrada",NOT(AND(ISNUMBER(G35),G35&gt;=0))),"Revisar: costo de compra",IF(AND(E35&lt;&gt;"Entrada",G35&lt;&gt;""),"Revisar: costo solo entrada","OK")))))))</x:f>
      </x:c>
    </x:row>
    <x:row r="36" ht="24" customHeight="1">
      <x:c r="A36" s="3"/>
      <x:c r="B36" s="25"/>
      <x:c r="C36" s="24"/>
      <x:c r="D36" s="3" t="str">
        <x:f>IF(AND(COUNTA(B36:C36)=0,COUNTA(E36:G36)=0,COUNTA(I36:J36)=0),"",IF(COUNTIFS('Inventario'!$B$14:$B$43,C36)=1,INDEX('Inventario'!$D$14:$D$43,MATCH(C36,'Inventario'!$B$14:$B$43,0)),"Revisar código"))</x:f>
      </x:c>
      <x:c r="E36" s="24"/>
      <x:c r="F36" s="41"/>
      <x:c r="G36" s="38"/>
      <x:c r="H36" s="16" t="str">
        <x:f>IF(AND(COUNTA(B36:C36)=0,COUNTA(E36:G36)=0,COUNTA(I36:J36)=0),"",IF(K36&lt;&gt;"OK","Revisar datos",IF(E36="Entrada",F36*G36,0)))</x:f>
      </x:c>
      <x:c r="I36" s="24"/>
      <x:c r="J36" s="24"/>
      <x:c r="K36" s="40" t="str">
        <x:f>IF(AND(COUNTA(B36:C36)=0,COUNTA(E36:G36)=0,COUNTA(I36:J36)=0),"",IF(NOT(AND(ISNUMBER(B36),B36&gt;0,B36=INT(B36))),"Revisar: fecha",IF(OR(COUNTIFS('Inventario'!$B$14:$B$43,C36)&lt;&gt;1,NOT(OR(D36="kg",D36="g",D36="l",D36="ml",D36="pza"))),"Revisar: código",IF(NOT(OR(E36="Entrada",E36="Salida",E36="Merma")),"Revisar: tipo",IF(NOT(AND(ISNUMBER(F36),F36&gt;0)),"Revisar: cantidad",IF(AND(E36="Entrada",NOT(AND(ISNUMBER(G36),G36&gt;=0))),"Revisar: costo de compra",IF(AND(E36&lt;&gt;"Entrada",G36&lt;&gt;""),"Revisar: costo solo entrada","OK")))))))</x:f>
      </x:c>
    </x:row>
    <x:row r="37" ht="24" customHeight="1">
      <x:c r="A37" s="3"/>
      <x:c r="B37" s="25"/>
      <x:c r="C37" s="24"/>
      <x:c r="D37" s="3" t="str">
        <x:f>IF(AND(COUNTA(B37:C37)=0,COUNTA(E37:G37)=0,COUNTA(I37:J37)=0),"",IF(COUNTIFS('Inventario'!$B$14:$B$43,C37)=1,INDEX('Inventario'!$D$14:$D$43,MATCH(C37,'Inventario'!$B$14:$B$43,0)),"Revisar código"))</x:f>
      </x:c>
      <x:c r="E37" s="24"/>
      <x:c r="F37" s="41"/>
      <x:c r="G37" s="38"/>
      <x:c r="H37" s="16" t="str">
        <x:f>IF(AND(COUNTA(B37:C37)=0,COUNTA(E37:G37)=0,COUNTA(I37:J37)=0),"",IF(K37&lt;&gt;"OK","Revisar datos",IF(E37="Entrada",F37*G37,0)))</x:f>
      </x:c>
      <x:c r="I37" s="24"/>
      <x:c r="J37" s="24"/>
      <x:c r="K37" s="40" t="str">
        <x:f>IF(AND(COUNTA(B37:C37)=0,COUNTA(E37:G37)=0,COUNTA(I37:J37)=0),"",IF(NOT(AND(ISNUMBER(B37),B37&gt;0,B37=INT(B37))),"Revisar: fecha",IF(OR(COUNTIFS('Inventario'!$B$14:$B$43,C37)&lt;&gt;1,NOT(OR(D37="kg",D37="g",D37="l",D37="ml",D37="pza"))),"Revisar: código",IF(NOT(OR(E37="Entrada",E37="Salida",E37="Merma")),"Revisar: tipo",IF(NOT(AND(ISNUMBER(F37),F37&gt;0)),"Revisar: cantidad",IF(AND(E37="Entrada",NOT(AND(ISNUMBER(G37),G37&gt;=0))),"Revisar: costo de compra",IF(AND(E37&lt;&gt;"Entrada",G37&lt;&gt;""),"Revisar: costo solo entrada","OK")))))))</x:f>
      </x:c>
    </x:row>
    <x:row r="38" ht="24" customHeight="1">
      <x:c r="A38" s="3"/>
      <x:c r="B38" s="25"/>
      <x:c r="C38" s="24"/>
      <x:c r="D38" s="3" t="str">
        <x:f>IF(AND(COUNTA(B38:C38)=0,COUNTA(E38:G38)=0,COUNTA(I38:J38)=0),"",IF(COUNTIFS('Inventario'!$B$14:$B$43,C38)=1,INDEX('Inventario'!$D$14:$D$43,MATCH(C38,'Inventario'!$B$14:$B$43,0)),"Revisar código"))</x:f>
      </x:c>
      <x:c r="E38" s="24"/>
      <x:c r="F38" s="41"/>
      <x:c r="G38" s="38"/>
      <x:c r="H38" s="16" t="str">
        <x:f>IF(AND(COUNTA(B38:C38)=0,COUNTA(E38:G38)=0,COUNTA(I38:J38)=0),"",IF(K38&lt;&gt;"OK","Revisar datos",IF(E38="Entrada",F38*G38,0)))</x:f>
      </x:c>
      <x:c r="I38" s="24"/>
      <x:c r="J38" s="24"/>
      <x:c r="K38" s="40" t="str">
        <x:f>IF(AND(COUNTA(B38:C38)=0,COUNTA(E38:G38)=0,COUNTA(I38:J38)=0),"",IF(NOT(AND(ISNUMBER(B38),B38&gt;0,B38=INT(B38))),"Revisar: fecha",IF(OR(COUNTIFS('Inventario'!$B$14:$B$43,C38)&lt;&gt;1,NOT(OR(D38="kg",D38="g",D38="l",D38="ml",D38="pza"))),"Revisar: código",IF(NOT(OR(E38="Entrada",E38="Salida",E38="Merma")),"Revisar: tipo",IF(NOT(AND(ISNUMBER(F38),F38&gt;0)),"Revisar: cantidad",IF(AND(E38="Entrada",NOT(AND(ISNUMBER(G38),G38&gt;=0))),"Revisar: costo de compra",IF(AND(E38&lt;&gt;"Entrada",G38&lt;&gt;""),"Revisar: costo solo entrada","OK")))))))</x:f>
      </x:c>
    </x:row>
    <x:row r="39" ht="24" customHeight="1">
      <x:c r="A39" s="3"/>
      <x:c r="B39" s="25"/>
      <x:c r="C39" s="24"/>
      <x:c r="D39" s="3" t="str">
        <x:f>IF(AND(COUNTA(B39:C39)=0,COUNTA(E39:G39)=0,COUNTA(I39:J39)=0),"",IF(COUNTIFS('Inventario'!$B$14:$B$43,C39)=1,INDEX('Inventario'!$D$14:$D$43,MATCH(C39,'Inventario'!$B$14:$B$43,0)),"Revisar código"))</x:f>
      </x:c>
      <x:c r="E39" s="24"/>
      <x:c r="F39" s="41"/>
      <x:c r="G39" s="38"/>
      <x:c r="H39" s="16" t="str">
        <x:f>IF(AND(COUNTA(B39:C39)=0,COUNTA(E39:G39)=0,COUNTA(I39:J39)=0),"",IF(K39&lt;&gt;"OK","Revisar datos",IF(E39="Entrada",F39*G39,0)))</x:f>
      </x:c>
      <x:c r="I39" s="24"/>
      <x:c r="J39" s="24"/>
      <x:c r="K39" s="40" t="str">
        <x:f>IF(AND(COUNTA(B39:C39)=0,COUNTA(E39:G39)=0,COUNTA(I39:J39)=0),"",IF(NOT(AND(ISNUMBER(B39),B39&gt;0,B39=INT(B39))),"Revisar: fecha",IF(OR(COUNTIFS('Inventario'!$B$14:$B$43,C39)&lt;&gt;1,NOT(OR(D39="kg",D39="g",D39="l",D39="ml",D39="pza"))),"Revisar: código",IF(NOT(OR(E39="Entrada",E39="Salida",E39="Merma")),"Revisar: tipo",IF(NOT(AND(ISNUMBER(F39),F39&gt;0)),"Revisar: cantidad",IF(AND(E39="Entrada",NOT(AND(ISNUMBER(G39),G39&gt;=0))),"Revisar: costo de compra",IF(AND(E39&lt;&gt;"Entrada",G39&lt;&gt;""),"Revisar: costo solo entrada","OK")))))))</x:f>
      </x:c>
    </x:row>
    <x:row r="40" ht="24" customHeight="1">
      <x:c r="A40" s="3"/>
      <x:c r="B40" s="25"/>
      <x:c r="C40" s="24"/>
      <x:c r="D40" s="3" t="str">
        <x:f>IF(AND(COUNTA(B40:C40)=0,COUNTA(E40:G40)=0,COUNTA(I40:J40)=0),"",IF(COUNTIFS('Inventario'!$B$14:$B$43,C40)=1,INDEX('Inventario'!$D$14:$D$43,MATCH(C40,'Inventario'!$B$14:$B$43,0)),"Revisar código"))</x:f>
      </x:c>
      <x:c r="E40" s="24"/>
      <x:c r="F40" s="41"/>
      <x:c r="G40" s="38"/>
      <x:c r="H40" s="16" t="str">
        <x:f>IF(AND(COUNTA(B40:C40)=0,COUNTA(E40:G40)=0,COUNTA(I40:J40)=0),"",IF(K40&lt;&gt;"OK","Revisar datos",IF(E40="Entrada",F40*G40,0)))</x:f>
      </x:c>
      <x:c r="I40" s="24"/>
      <x:c r="J40" s="24"/>
      <x:c r="K40" s="40" t="str">
        <x:f>IF(AND(COUNTA(B40:C40)=0,COUNTA(E40:G40)=0,COUNTA(I40:J40)=0),"",IF(NOT(AND(ISNUMBER(B40),B40&gt;0,B40=INT(B40))),"Revisar: fecha",IF(OR(COUNTIFS('Inventario'!$B$14:$B$43,C40)&lt;&gt;1,NOT(OR(D40="kg",D40="g",D40="l",D40="ml",D40="pza"))),"Revisar: código",IF(NOT(OR(E40="Entrada",E40="Salida",E40="Merma")),"Revisar: tipo",IF(NOT(AND(ISNUMBER(F40),F40&gt;0)),"Revisar: cantidad",IF(AND(E40="Entrada",NOT(AND(ISNUMBER(G40),G40&gt;=0))),"Revisar: costo de compra",IF(AND(E40&lt;&gt;"Entrada",G40&lt;&gt;""),"Revisar: costo solo entrada","OK")))))))</x:f>
      </x:c>
    </x:row>
    <x:row r="41" ht="24" customHeight="1">
      <x:c r="A41" s="3"/>
      <x:c r="B41" s="25"/>
      <x:c r="C41" s="24"/>
      <x:c r="D41" s="3" t="str">
        <x:f>IF(AND(COUNTA(B41:C41)=0,COUNTA(E41:G41)=0,COUNTA(I41:J41)=0),"",IF(COUNTIFS('Inventario'!$B$14:$B$43,C41)=1,INDEX('Inventario'!$D$14:$D$43,MATCH(C41,'Inventario'!$B$14:$B$43,0)),"Revisar código"))</x:f>
      </x:c>
      <x:c r="E41" s="24"/>
      <x:c r="F41" s="41"/>
      <x:c r="G41" s="38"/>
      <x:c r="H41" s="16" t="str">
        <x:f>IF(AND(COUNTA(B41:C41)=0,COUNTA(E41:G41)=0,COUNTA(I41:J41)=0),"",IF(K41&lt;&gt;"OK","Revisar datos",IF(E41="Entrada",F41*G41,0)))</x:f>
      </x:c>
      <x:c r="I41" s="24"/>
      <x:c r="J41" s="24"/>
      <x:c r="K41" s="40" t="str">
        <x:f>IF(AND(COUNTA(B41:C41)=0,COUNTA(E41:G41)=0,COUNTA(I41:J41)=0),"",IF(NOT(AND(ISNUMBER(B41),B41&gt;0,B41=INT(B41))),"Revisar: fecha",IF(OR(COUNTIFS('Inventario'!$B$14:$B$43,C41)&lt;&gt;1,NOT(OR(D41="kg",D41="g",D41="l",D41="ml",D41="pza"))),"Revisar: código",IF(NOT(OR(E41="Entrada",E41="Salida",E41="Merma")),"Revisar: tipo",IF(NOT(AND(ISNUMBER(F41),F41&gt;0)),"Revisar: cantidad",IF(AND(E41="Entrada",NOT(AND(ISNUMBER(G41),G41&gt;=0))),"Revisar: costo de compra",IF(AND(E41&lt;&gt;"Entrada",G41&lt;&gt;""),"Revisar: costo solo entrada","OK")))))))</x:f>
      </x:c>
    </x:row>
    <x:row r="42" ht="24" customHeight="1">
      <x:c r="A42" s="3"/>
      <x:c r="B42" s="25"/>
      <x:c r="C42" s="24"/>
      <x:c r="D42" s="3" t="str">
        <x:f>IF(AND(COUNTA(B42:C42)=0,COUNTA(E42:G42)=0,COUNTA(I42:J42)=0),"",IF(COUNTIFS('Inventario'!$B$14:$B$43,C42)=1,INDEX('Inventario'!$D$14:$D$43,MATCH(C42,'Inventario'!$B$14:$B$43,0)),"Revisar código"))</x:f>
      </x:c>
      <x:c r="E42" s="24"/>
      <x:c r="F42" s="41"/>
      <x:c r="G42" s="38"/>
      <x:c r="H42" s="16" t="str">
        <x:f>IF(AND(COUNTA(B42:C42)=0,COUNTA(E42:G42)=0,COUNTA(I42:J42)=0),"",IF(K42&lt;&gt;"OK","Revisar datos",IF(E42="Entrada",F42*G42,0)))</x:f>
      </x:c>
      <x:c r="I42" s="24"/>
      <x:c r="J42" s="24"/>
      <x:c r="K42" s="40" t="str">
        <x:f>IF(AND(COUNTA(B42:C42)=0,COUNTA(E42:G42)=0,COUNTA(I42:J42)=0),"",IF(NOT(AND(ISNUMBER(B42),B42&gt;0,B42=INT(B42))),"Revisar: fecha",IF(OR(COUNTIFS('Inventario'!$B$14:$B$43,C42)&lt;&gt;1,NOT(OR(D42="kg",D42="g",D42="l",D42="ml",D42="pza"))),"Revisar: código",IF(NOT(OR(E42="Entrada",E42="Salida",E42="Merma")),"Revisar: tipo",IF(NOT(AND(ISNUMBER(F42),F42&gt;0)),"Revisar: cantidad",IF(AND(E42="Entrada",NOT(AND(ISNUMBER(G42),G42&gt;=0))),"Revisar: costo de compra",IF(AND(E42&lt;&gt;"Entrada",G42&lt;&gt;""),"Revisar: costo solo entrada","OK")))))))</x:f>
      </x:c>
    </x:row>
    <x:row r="43" ht="24" customHeight="1">
      <x:c r="A43" s="3"/>
      <x:c r="B43" s="25"/>
      <x:c r="C43" s="24"/>
      <x:c r="D43" s="3" t="str">
        <x:f>IF(AND(COUNTA(B43:C43)=0,COUNTA(E43:G43)=0,COUNTA(I43:J43)=0),"",IF(COUNTIFS('Inventario'!$B$14:$B$43,C43)=1,INDEX('Inventario'!$D$14:$D$43,MATCH(C43,'Inventario'!$B$14:$B$43,0)),"Revisar código"))</x:f>
      </x:c>
      <x:c r="E43" s="24"/>
      <x:c r="F43" s="41"/>
      <x:c r="G43" s="38"/>
      <x:c r="H43" s="16" t="str">
        <x:f>IF(AND(COUNTA(B43:C43)=0,COUNTA(E43:G43)=0,COUNTA(I43:J43)=0),"",IF(K43&lt;&gt;"OK","Revisar datos",IF(E43="Entrada",F43*G43,0)))</x:f>
      </x:c>
      <x:c r="I43" s="24"/>
      <x:c r="J43" s="24"/>
      <x:c r="K43" s="40" t="str">
        <x:f>IF(AND(COUNTA(B43:C43)=0,COUNTA(E43:G43)=0,COUNTA(I43:J43)=0),"",IF(NOT(AND(ISNUMBER(B43),B43&gt;0,B43=INT(B43))),"Revisar: fecha",IF(OR(COUNTIFS('Inventario'!$B$14:$B$43,C43)&lt;&gt;1,NOT(OR(D43="kg",D43="g",D43="l",D43="ml",D43="pza"))),"Revisar: código",IF(NOT(OR(E43="Entrada",E43="Salida",E43="Merma")),"Revisar: tipo",IF(NOT(AND(ISNUMBER(F43),F43&gt;0)),"Revisar: cantidad",IF(AND(E43="Entrada",NOT(AND(ISNUMBER(G43),G43&gt;=0))),"Revisar: costo de compra",IF(AND(E43&lt;&gt;"Entrada",G43&lt;&gt;""),"Revisar: costo solo entrada","OK")))))))</x:f>
      </x:c>
    </x:row>
    <x:row r="44" ht="24" customHeight="1">
      <x:c r="A44" s="3"/>
      <x:c r="B44" s="25"/>
      <x:c r="C44" s="24"/>
      <x:c r="D44" s="3" t="str">
        <x:f>IF(AND(COUNTA(B44:C44)=0,COUNTA(E44:G44)=0,COUNTA(I44:J44)=0),"",IF(COUNTIFS('Inventario'!$B$14:$B$43,C44)=1,INDEX('Inventario'!$D$14:$D$43,MATCH(C44,'Inventario'!$B$14:$B$43,0)),"Revisar código"))</x:f>
      </x:c>
      <x:c r="E44" s="24"/>
      <x:c r="F44" s="41"/>
      <x:c r="G44" s="38"/>
      <x:c r="H44" s="16" t="str">
        <x:f>IF(AND(COUNTA(B44:C44)=0,COUNTA(E44:G44)=0,COUNTA(I44:J44)=0),"",IF(K44&lt;&gt;"OK","Revisar datos",IF(E44="Entrada",F44*G44,0)))</x:f>
      </x:c>
      <x:c r="I44" s="24"/>
      <x:c r="J44" s="24"/>
      <x:c r="K44" s="40" t="str">
        <x:f>IF(AND(COUNTA(B44:C44)=0,COUNTA(E44:G44)=0,COUNTA(I44:J44)=0),"",IF(NOT(AND(ISNUMBER(B44),B44&gt;0,B44=INT(B44))),"Revisar: fecha",IF(OR(COUNTIFS('Inventario'!$B$14:$B$43,C44)&lt;&gt;1,NOT(OR(D44="kg",D44="g",D44="l",D44="ml",D44="pza"))),"Revisar: código",IF(NOT(OR(E44="Entrada",E44="Salida",E44="Merma")),"Revisar: tipo",IF(NOT(AND(ISNUMBER(F44),F44&gt;0)),"Revisar: cantidad",IF(AND(E44="Entrada",NOT(AND(ISNUMBER(G44),G44&gt;=0))),"Revisar: costo de compra",IF(AND(E44&lt;&gt;"Entrada",G44&lt;&gt;""),"Revisar: costo solo entrada","OK")))))))</x:f>
      </x:c>
    </x:row>
    <x:row r="45" ht="24" customHeight="1">
      <x:c r="A45" s="3"/>
      <x:c r="B45" s="25"/>
      <x:c r="C45" s="24"/>
      <x:c r="D45" s="3" t="str">
        <x:f>IF(AND(COUNTA(B45:C45)=0,COUNTA(E45:G45)=0,COUNTA(I45:J45)=0),"",IF(COUNTIFS('Inventario'!$B$14:$B$43,C45)=1,INDEX('Inventario'!$D$14:$D$43,MATCH(C45,'Inventario'!$B$14:$B$43,0)),"Revisar código"))</x:f>
      </x:c>
      <x:c r="E45" s="24"/>
      <x:c r="F45" s="41"/>
      <x:c r="G45" s="38"/>
      <x:c r="H45" s="16" t="str">
        <x:f>IF(AND(COUNTA(B45:C45)=0,COUNTA(E45:G45)=0,COUNTA(I45:J45)=0),"",IF(K45&lt;&gt;"OK","Revisar datos",IF(E45="Entrada",F45*G45,0)))</x:f>
      </x:c>
      <x:c r="I45" s="24"/>
      <x:c r="J45" s="24"/>
      <x:c r="K45" s="40" t="str">
        <x:f>IF(AND(COUNTA(B45:C45)=0,COUNTA(E45:G45)=0,COUNTA(I45:J45)=0),"",IF(NOT(AND(ISNUMBER(B45),B45&gt;0,B45=INT(B45))),"Revisar: fecha",IF(OR(COUNTIFS('Inventario'!$B$14:$B$43,C45)&lt;&gt;1,NOT(OR(D45="kg",D45="g",D45="l",D45="ml",D45="pza"))),"Revisar: código",IF(NOT(OR(E45="Entrada",E45="Salida",E45="Merma")),"Revisar: tipo",IF(NOT(AND(ISNUMBER(F45),F45&gt;0)),"Revisar: cantidad",IF(AND(E45="Entrada",NOT(AND(ISNUMBER(G45),G45&gt;=0))),"Revisar: costo de compra",IF(AND(E45&lt;&gt;"Entrada",G45&lt;&gt;""),"Revisar: costo solo entrada","OK")))))))</x:f>
      </x:c>
    </x:row>
    <x:row r="46" ht="24" customHeight="1">
      <x:c r="A46" s="3"/>
      <x:c r="B46" s="25"/>
      <x:c r="C46" s="24"/>
      <x:c r="D46" s="3" t="str">
        <x:f>IF(AND(COUNTA(B46:C46)=0,COUNTA(E46:G46)=0,COUNTA(I46:J46)=0),"",IF(COUNTIFS('Inventario'!$B$14:$B$43,C46)=1,INDEX('Inventario'!$D$14:$D$43,MATCH(C46,'Inventario'!$B$14:$B$43,0)),"Revisar código"))</x:f>
      </x:c>
      <x:c r="E46" s="24"/>
      <x:c r="F46" s="41"/>
      <x:c r="G46" s="38"/>
      <x:c r="H46" s="16" t="str">
        <x:f>IF(AND(COUNTA(B46:C46)=0,COUNTA(E46:G46)=0,COUNTA(I46:J46)=0),"",IF(K46&lt;&gt;"OK","Revisar datos",IF(E46="Entrada",F46*G46,0)))</x:f>
      </x:c>
      <x:c r="I46" s="24"/>
      <x:c r="J46" s="24"/>
      <x:c r="K46" s="40" t="str">
        <x:f>IF(AND(COUNTA(B46:C46)=0,COUNTA(E46:G46)=0,COUNTA(I46:J46)=0),"",IF(NOT(AND(ISNUMBER(B46),B46&gt;0,B46=INT(B46))),"Revisar: fecha",IF(OR(COUNTIFS('Inventario'!$B$14:$B$43,C46)&lt;&gt;1,NOT(OR(D46="kg",D46="g",D46="l",D46="ml",D46="pza"))),"Revisar: código",IF(NOT(OR(E46="Entrada",E46="Salida",E46="Merma")),"Revisar: tipo",IF(NOT(AND(ISNUMBER(F46),F46&gt;0)),"Revisar: cantidad",IF(AND(E46="Entrada",NOT(AND(ISNUMBER(G46),G46&gt;=0))),"Revisar: costo de compra",IF(AND(E46&lt;&gt;"Entrada",G46&lt;&gt;""),"Revisar: costo solo entrada","OK")))))))</x:f>
      </x:c>
    </x:row>
    <x:row r="47" ht="24" customHeight="1">
      <x:c r="A47" s="3"/>
      <x:c r="B47" s="25"/>
      <x:c r="C47" s="24"/>
      <x:c r="D47" s="3" t="str">
        <x:f>IF(AND(COUNTA(B47:C47)=0,COUNTA(E47:G47)=0,COUNTA(I47:J47)=0),"",IF(COUNTIFS('Inventario'!$B$14:$B$43,C47)=1,INDEX('Inventario'!$D$14:$D$43,MATCH(C47,'Inventario'!$B$14:$B$43,0)),"Revisar código"))</x:f>
      </x:c>
      <x:c r="E47" s="24"/>
      <x:c r="F47" s="41"/>
      <x:c r="G47" s="38"/>
      <x:c r="H47" s="16" t="str">
        <x:f>IF(AND(COUNTA(B47:C47)=0,COUNTA(E47:G47)=0,COUNTA(I47:J47)=0),"",IF(K47&lt;&gt;"OK","Revisar datos",IF(E47="Entrada",F47*G47,0)))</x:f>
      </x:c>
      <x:c r="I47" s="24"/>
      <x:c r="J47" s="24"/>
      <x:c r="K47" s="40" t="str">
        <x:f>IF(AND(COUNTA(B47:C47)=0,COUNTA(E47:G47)=0,COUNTA(I47:J47)=0),"",IF(NOT(AND(ISNUMBER(B47),B47&gt;0,B47=INT(B47))),"Revisar: fecha",IF(OR(COUNTIFS('Inventario'!$B$14:$B$43,C47)&lt;&gt;1,NOT(OR(D47="kg",D47="g",D47="l",D47="ml",D47="pza"))),"Revisar: código",IF(NOT(OR(E47="Entrada",E47="Salida",E47="Merma")),"Revisar: tipo",IF(NOT(AND(ISNUMBER(F47),F47&gt;0)),"Revisar: cantidad",IF(AND(E47="Entrada",NOT(AND(ISNUMBER(G47),G47&gt;=0))),"Revisar: costo de compra",IF(AND(E47&lt;&gt;"Entrada",G47&lt;&gt;""),"Revisar: costo solo entrada","OK")))))))</x:f>
      </x:c>
    </x:row>
    <x:row r="48" ht="24" customHeight="1">
      <x:c r="A48" s="3"/>
      <x:c r="B48" s="25"/>
      <x:c r="C48" s="24"/>
      <x:c r="D48" s="3" t="str">
        <x:f>IF(AND(COUNTA(B48:C48)=0,COUNTA(E48:G48)=0,COUNTA(I48:J48)=0),"",IF(COUNTIFS('Inventario'!$B$14:$B$43,C48)=1,INDEX('Inventario'!$D$14:$D$43,MATCH(C48,'Inventario'!$B$14:$B$43,0)),"Revisar código"))</x:f>
      </x:c>
      <x:c r="E48" s="24"/>
      <x:c r="F48" s="41"/>
      <x:c r="G48" s="38"/>
      <x:c r="H48" s="16" t="str">
        <x:f>IF(AND(COUNTA(B48:C48)=0,COUNTA(E48:G48)=0,COUNTA(I48:J48)=0),"",IF(K48&lt;&gt;"OK","Revisar datos",IF(E48="Entrada",F48*G48,0)))</x:f>
      </x:c>
      <x:c r="I48" s="24"/>
      <x:c r="J48" s="24"/>
      <x:c r="K48" s="40" t="str">
        <x:f>IF(AND(COUNTA(B48:C48)=0,COUNTA(E48:G48)=0,COUNTA(I48:J48)=0),"",IF(NOT(AND(ISNUMBER(B48),B48&gt;0,B48=INT(B48))),"Revisar: fecha",IF(OR(COUNTIFS('Inventario'!$B$14:$B$43,C48)&lt;&gt;1,NOT(OR(D48="kg",D48="g",D48="l",D48="ml",D48="pza"))),"Revisar: código",IF(NOT(OR(E48="Entrada",E48="Salida",E48="Merma")),"Revisar: tipo",IF(NOT(AND(ISNUMBER(F48),F48&gt;0)),"Revisar: cantidad",IF(AND(E48="Entrada",NOT(AND(ISNUMBER(G48),G48&gt;=0))),"Revisar: costo de compra",IF(AND(E48&lt;&gt;"Entrada",G48&lt;&gt;""),"Revisar: costo solo entrada","OK")))))))</x:f>
      </x:c>
    </x:row>
    <x:row r="49" ht="24" customHeight="1">
      <x:c r="A49" s="3"/>
      <x:c r="B49" s="25"/>
      <x:c r="C49" s="24"/>
      <x:c r="D49" s="3" t="str">
        <x:f>IF(AND(COUNTA(B49:C49)=0,COUNTA(E49:G49)=0,COUNTA(I49:J49)=0),"",IF(COUNTIFS('Inventario'!$B$14:$B$43,C49)=1,INDEX('Inventario'!$D$14:$D$43,MATCH(C49,'Inventario'!$B$14:$B$43,0)),"Revisar código"))</x:f>
      </x:c>
      <x:c r="E49" s="24"/>
      <x:c r="F49" s="41"/>
      <x:c r="G49" s="38"/>
      <x:c r="H49" s="16" t="str">
        <x:f>IF(AND(COUNTA(B49:C49)=0,COUNTA(E49:G49)=0,COUNTA(I49:J49)=0),"",IF(K49&lt;&gt;"OK","Revisar datos",IF(E49="Entrada",F49*G49,0)))</x:f>
      </x:c>
      <x:c r="I49" s="24"/>
      <x:c r="J49" s="24"/>
      <x:c r="K49" s="40" t="str">
        <x:f>IF(AND(COUNTA(B49:C49)=0,COUNTA(E49:G49)=0,COUNTA(I49:J49)=0),"",IF(NOT(AND(ISNUMBER(B49),B49&gt;0,B49=INT(B49))),"Revisar: fecha",IF(OR(COUNTIFS('Inventario'!$B$14:$B$43,C49)&lt;&gt;1,NOT(OR(D49="kg",D49="g",D49="l",D49="ml",D49="pza"))),"Revisar: código",IF(NOT(OR(E49="Entrada",E49="Salida",E49="Merma")),"Revisar: tipo",IF(NOT(AND(ISNUMBER(F49),F49&gt;0)),"Revisar: cantidad",IF(AND(E49="Entrada",NOT(AND(ISNUMBER(G49),G49&gt;=0))),"Revisar: costo de compra",IF(AND(E49&lt;&gt;"Entrada",G49&lt;&gt;""),"Revisar: costo solo entrada","OK")))))))</x:f>
      </x:c>
    </x:row>
    <x:row r="50" ht="24" customHeight="1">
      <x:c r="A50" s="3"/>
      <x:c r="B50" s="25"/>
      <x:c r="C50" s="24"/>
      <x:c r="D50" s="3" t="str">
        <x:f>IF(AND(COUNTA(B50:C50)=0,COUNTA(E50:G50)=0,COUNTA(I50:J50)=0),"",IF(COUNTIFS('Inventario'!$B$14:$B$43,C50)=1,INDEX('Inventario'!$D$14:$D$43,MATCH(C50,'Inventario'!$B$14:$B$43,0)),"Revisar código"))</x:f>
      </x:c>
      <x:c r="E50" s="24"/>
      <x:c r="F50" s="41"/>
      <x:c r="G50" s="38"/>
      <x:c r="H50" s="16" t="str">
        <x:f>IF(AND(COUNTA(B50:C50)=0,COUNTA(E50:G50)=0,COUNTA(I50:J50)=0),"",IF(K50&lt;&gt;"OK","Revisar datos",IF(E50="Entrada",F50*G50,0)))</x:f>
      </x:c>
      <x:c r="I50" s="24"/>
      <x:c r="J50" s="24"/>
      <x:c r="K50" s="40" t="str">
        <x:f>IF(AND(COUNTA(B50:C50)=0,COUNTA(E50:G50)=0,COUNTA(I50:J50)=0),"",IF(NOT(AND(ISNUMBER(B50),B50&gt;0,B50=INT(B50))),"Revisar: fecha",IF(OR(COUNTIFS('Inventario'!$B$14:$B$43,C50)&lt;&gt;1,NOT(OR(D50="kg",D50="g",D50="l",D50="ml",D50="pza"))),"Revisar: código",IF(NOT(OR(E50="Entrada",E50="Salida",E50="Merma")),"Revisar: tipo",IF(NOT(AND(ISNUMBER(F50),F50&gt;0)),"Revisar: cantidad",IF(AND(E50="Entrada",NOT(AND(ISNUMBER(G50),G50&gt;=0))),"Revisar: costo de compra",IF(AND(E50&lt;&gt;"Entrada",G50&lt;&gt;""),"Revisar: costo solo entrada","OK")))))))</x:f>
      </x:c>
    </x:row>
    <x:row r="51" ht="24" customHeight="1">
      <x:c r="A51" s="3"/>
      <x:c r="B51" s="25"/>
      <x:c r="C51" s="24"/>
      <x:c r="D51" s="3" t="str">
        <x:f>IF(AND(COUNTA(B51:C51)=0,COUNTA(E51:G51)=0,COUNTA(I51:J51)=0),"",IF(COUNTIFS('Inventario'!$B$14:$B$43,C51)=1,INDEX('Inventario'!$D$14:$D$43,MATCH(C51,'Inventario'!$B$14:$B$43,0)),"Revisar código"))</x:f>
      </x:c>
      <x:c r="E51" s="24"/>
      <x:c r="F51" s="41"/>
      <x:c r="G51" s="38"/>
      <x:c r="H51" s="16" t="str">
        <x:f>IF(AND(COUNTA(B51:C51)=0,COUNTA(E51:G51)=0,COUNTA(I51:J51)=0),"",IF(K51&lt;&gt;"OK","Revisar datos",IF(E51="Entrada",F51*G51,0)))</x:f>
      </x:c>
      <x:c r="I51" s="24"/>
      <x:c r="J51" s="24"/>
      <x:c r="K51" s="40" t="str">
        <x:f>IF(AND(COUNTA(B51:C51)=0,COUNTA(E51:G51)=0,COUNTA(I51:J51)=0),"",IF(NOT(AND(ISNUMBER(B51),B51&gt;0,B51=INT(B51))),"Revisar: fecha",IF(OR(COUNTIFS('Inventario'!$B$14:$B$43,C51)&lt;&gt;1,NOT(OR(D51="kg",D51="g",D51="l",D51="ml",D51="pza"))),"Revisar: código",IF(NOT(OR(E51="Entrada",E51="Salida",E51="Merma")),"Revisar: tipo",IF(NOT(AND(ISNUMBER(F51),F51&gt;0)),"Revisar: cantidad",IF(AND(E51="Entrada",NOT(AND(ISNUMBER(G51),G51&gt;=0))),"Revisar: costo de compra",IF(AND(E51&lt;&gt;"Entrada",G51&lt;&gt;""),"Revisar: costo solo entrada","OK")))))))</x:f>
      </x:c>
    </x:row>
    <x:row r="52" ht="24" customHeight="1">
      <x:c r="A52" s="3"/>
      <x:c r="B52" s="25"/>
      <x:c r="C52" s="24"/>
      <x:c r="D52" s="3" t="str">
        <x:f>IF(AND(COUNTA(B52:C52)=0,COUNTA(E52:G52)=0,COUNTA(I52:J52)=0),"",IF(COUNTIFS('Inventario'!$B$14:$B$43,C52)=1,INDEX('Inventario'!$D$14:$D$43,MATCH(C52,'Inventario'!$B$14:$B$43,0)),"Revisar código"))</x:f>
      </x:c>
      <x:c r="E52" s="24"/>
      <x:c r="F52" s="41"/>
      <x:c r="G52" s="38"/>
      <x:c r="H52" s="16" t="str">
        <x:f>IF(AND(COUNTA(B52:C52)=0,COUNTA(E52:G52)=0,COUNTA(I52:J52)=0),"",IF(K52&lt;&gt;"OK","Revisar datos",IF(E52="Entrada",F52*G52,0)))</x:f>
      </x:c>
      <x:c r="I52" s="24"/>
      <x:c r="J52" s="24"/>
      <x:c r="K52" s="40" t="str">
        <x:f>IF(AND(COUNTA(B52:C52)=0,COUNTA(E52:G52)=0,COUNTA(I52:J52)=0),"",IF(NOT(AND(ISNUMBER(B52),B52&gt;0,B52=INT(B52))),"Revisar: fecha",IF(OR(COUNTIFS('Inventario'!$B$14:$B$43,C52)&lt;&gt;1,NOT(OR(D52="kg",D52="g",D52="l",D52="ml",D52="pza"))),"Revisar: código",IF(NOT(OR(E52="Entrada",E52="Salida",E52="Merma")),"Revisar: tipo",IF(NOT(AND(ISNUMBER(F52),F52&gt;0)),"Revisar: cantidad",IF(AND(E52="Entrada",NOT(AND(ISNUMBER(G52),G52&gt;=0))),"Revisar: costo de compra",IF(AND(E52&lt;&gt;"Entrada",G52&lt;&gt;""),"Revisar: costo solo entrada","OK")))))))</x:f>
      </x:c>
    </x:row>
    <x:row r="53" ht="24" customHeight="1">
      <x:c r="A53" s="3"/>
      <x:c r="B53" s="25"/>
      <x:c r="C53" s="24"/>
      <x:c r="D53" s="3" t="str">
        <x:f>IF(AND(COUNTA(B53:C53)=0,COUNTA(E53:G53)=0,COUNTA(I53:J53)=0),"",IF(COUNTIFS('Inventario'!$B$14:$B$43,C53)=1,INDEX('Inventario'!$D$14:$D$43,MATCH(C53,'Inventario'!$B$14:$B$43,0)),"Revisar código"))</x:f>
      </x:c>
      <x:c r="E53" s="24"/>
      <x:c r="F53" s="41"/>
      <x:c r="G53" s="38"/>
      <x:c r="H53" s="16" t="str">
        <x:f>IF(AND(COUNTA(B53:C53)=0,COUNTA(E53:G53)=0,COUNTA(I53:J53)=0),"",IF(K53&lt;&gt;"OK","Revisar datos",IF(E53="Entrada",F53*G53,0)))</x:f>
      </x:c>
      <x:c r="I53" s="24"/>
      <x:c r="J53" s="24"/>
      <x:c r="K53" s="40" t="str">
        <x:f>IF(AND(COUNTA(B53:C53)=0,COUNTA(E53:G53)=0,COUNTA(I53:J53)=0),"",IF(NOT(AND(ISNUMBER(B53),B53&gt;0,B53=INT(B53))),"Revisar: fecha",IF(OR(COUNTIFS('Inventario'!$B$14:$B$43,C53)&lt;&gt;1,NOT(OR(D53="kg",D53="g",D53="l",D53="ml",D53="pza"))),"Revisar: código",IF(NOT(OR(E53="Entrada",E53="Salida",E53="Merma")),"Revisar: tipo",IF(NOT(AND(ISNUMBER(F53),F53&gt;0)),"Revisar: cantidad",IF(AND(E53="Entrada",NOT(AND(ISNUMBER(G53),G53&gt;=0))),"Revisar: costo de compra",IF(AND(E53&lt;&gt;"Entrada",G53&lt;&gt;""),"Revisar: costo solo entrada","OK")))))))</x:f>
      </x:c>
    </x:row>
    <x:row r="54" ht="24" customHeight="1">
      <x:c r="A54" s="3"/>
      <x:c r="B54" s="25"/>
      <x:c r="C54" s="24"/>
      <x:c r="D54" s="3" t="str">
        <x:f>IF(AND(COUNTA(B54:C54)=0,COUNTA(E54:G54)=0,COUNTA(I54:J54)=0),"",IF(COUNTIFS('Inventario'!$B$14:$B$43,C54)=1,INDEX('Inventario'!$D$14:$D$43,MATCH(C54,'Inventario'!$B$14:$B$43,0)),"Revisar código"))</x:f>
      </x:c>
      <x:c r="E54" s="24"/>
      <x:c r="F54" s="41"/>
      <x:c r="G54" s="38"/>
      <x:c r="H54" s="16" t="str">
        <x:f>IF(AND(COUNTA(B54:C54)=0,COUNTA(E54:G54)=0,COUNTA(I54:J54)=0),"",IF(K54&lt;&gt;"OK","Revisar datos",IF(E54="Entrada",F54*G54,0)))</x:f>
      </x:c>
      <x:c r="I54" s="24"/>
      <x:c r="J54" s="24"/>
      <x:c r="K54" s="40" t="str">
        <x:f>IF(AND(COUNTA(B54:C54)=0,COUNTA(E54:G54)=0,COUNTA(I54:J54)=0),"",IF(NOT(AND(ISNUMBER(B54),B54&gt;0,B54=INT(B54))),"Revisar: fecha",IF(OR(COUNTIFS('Inventario'!$B$14:$B$43,C54)&lt;&gt;1,NOT(OR(D54="kg",D54="g",D54="l",D54="ml",D54="pza"))),"Revisar: código",IF(NOT(OR(E54="Entrada",E54="Salida",E54="Merma")),"Revisar: tipo",IF(NOT(AND(ISNUMBER(F54),F54&gt;0)),"Revisar: cantidad",IF(AND(E54="Entrada",NOT(AND(ISNUMBER(G54),G54&gt;=0))),"Revisar: costo de compra",IF(AND(E54&lt;&gt;"Entrada",G54&lt;&gt;""),"Revisar: costo solo entrada","OK")))))))</x:f>
      </x:c>
    </x:row>
    <x:row r="55" ht="24" customHeight="1">
      <x:c r="A55" s="3"/>
      <x:c r="B55" s="25"/>
      <x:c r="C55" s="24"/>
      <x:c r="D55" s="3" t="str">
        <x:f>IF(AND(COUNTA(B55:C55)=0,COUNTA(E55:G55)=0,COUNTA(I55:J55)=0),"",IF(COUNTIFS('Inventario'!$B$14:$B$43,C55)=1,INDEX('Inventario'!$D$14:$D$43,MATCH(C55,'Inventario'!$B$14:$B$43,0)),"Revisar código"))</x:f>
      </x:c>
      <x:c r="E55" s="24"/>
      <x:c r="F55" s="41"/>
      <x:c r="G55" s="38"/>
      <x:c r="H55" s="16" t="str">
        <x:f>IF(AND(COUNTA(B55:C55)=0,COUNTA(E55:G55)=0,COUNTA(I55:J55)=0),"",IF(K55&lt;&gt;"OK","Revisar datos",IF(E55="Entrada",F55*G55,0)))</x:f>
      </x:c>
      <x:c r="I55" s="24"/>
      <x:c r="J55" s="24"/>
      <x:c r="K55" s="40" t="str">
        <x:f>IF(AND(COUNTA(B55:C55)=0,COUNTA(E55:G55)=0,COUNTA(I55:J55)=0),"",IF(NOT(AND(ISNUMBER(B55),B55&gt;0,B55=INT(B55))),"Revisar: fecha",IF(OR(COUNTIFS('Inventario'!$B$14:$B$43,C55)&lt;&gt;1,NOT(OR(D55="kg",D55="g",D55="l",D55="ml",D55="pza"))),"Revisar: código",IF(NOT(OR(E55="Entrada",E55="Salida",E55="Merma")),"Revisar: tipo",IF(NOT(AND(ISNUMBER(F55),F55&gt;0)),"Revisar: cantidad",IF(AND(E55="Entrada",NOT(AND(ISNUMBER(G55),G55&gt;=0))),"Revisar: costo de compra",IF(AND(E55&lt;&gt;"Entrada",G55&lt;&gt;""),"Revisar: costo solo entrada","OK")))))))</x:f>
      </x:c>
    </x:row>
    <x:row r="56" ht="24" customHeight="1">
      <x:c r="A56" s="3"/>
      <x:c r="B56" s="25"/>
      <x:c r="C56" s="24"/>
      <x:c r="D56" s="3" t="str">
        <x:f>IF(AND(COUNTA(B56:C56)=0,COUNTA(E56:G56)=0,COUNTA(I56:J56)=0),"",IF(COUNTIFS('Inventario'!$B$14:$B$43,C56)=1,INDEX('Inventario'!$D$14:$D$43,MATCH(C56,'Inventario'!$B$14:$B$43,0)),"Revisar código"))</x:f>
      </x:c>
      <x:c r="E56" s="24"/>
      <x:c r="F56" s="41"/>
      <x:c r="G56" s="38"/>
      <x:c r="H56" s="16" t="str">
        <x:f>IF(AND(COUNTA(B56:C56)=0,COUNTA(E56:G56)=0,COUNTA(I56:J56)=0),"",IF(K56&lt;&gt;"OK","Revisar datos",IF(E56="Entrada",F56*G56,0)))</x:f>
      </x:c>
      <x:c r="I56" s="24"/>
      <x:c r="J56" s="24"/>
      <x:c r="K56" s="40" t="str">
        <x:f>IF(AND(COUNTA(B56:C56)=0,COUNTA(E56:G56)=0,COUNTA(I56:J56)=0),"",IF(NOT(AND(ISNUMBER(B56),B56&gt;0,B56=INT(B56))),"Revisar: fecha",IF(OR(COUNTIFS('Inventario'!$B$14:$B$43,C56)&lt;&gt;1,NOT(OR(D56="kg",D56="g",D56="l",D56="ml",D56="pza"))),"Revisar: código",IF(NOT(OR(E56="Entrada",E56="Salida",E56="Merma")),"Revisar: tipo",IF(NOT(AND(ISNUMBER(F56),F56&gt;0)),"Revisar: cantidad",IF(AND(E56="Entrada",NOT(AND(ISNUMBER(G56),G56&gt;=0))),"Revisar: costo de compra",IF(AND(E56&lt;&gt;"Entrada",G56&lt;&gt;""),"Revisar: costo solo entrada","OK")))))))</x:f>
      </x:c>
    </x:row>
    <x:row r="57" ht="24" customHeight="1">
      <x:c r="A57" s="3"/>
      <x:c r="B57" s="25"/>
      <x:c r="C57" s="24"/>
      <x:c r="D57" s="3" t="str">
        <x:f>IF(AND(COUNTA(B57:C57)=0,COUNTA(E57:G57)=0,COUNTA(I57:J57)=0),"",IF(COUNTIFS('Inventario'!$B$14:$B$43,C57)=1,INDEX('Inventario'!$D$14:$D$43,MATCH(C57,'Inventario'!$B$14:$B$43,0)),"Revisar código"))</x:f>
      </x:c>
      <x:c r="E57" s="24"/>
      <x:c r="F57" s="41"/>
      <x:c r="G57" s="38"/>
      <x:c r="H57" s="16" t="str">
        <x:f>IF(AND(COUNTA(B57:C57)=0,COUNTA(E57:G57)=0,COUNTA(I57:J57)=0),"",IF(K57&lt;&gt;"OK","Revisar datos",IF(E57="Entrada",F57*G57,0)))</x:f>
      </x:c>
      <x:c r="I57" s="24"/>
      <x:c r="J57" s="24"/>
      <x:c r="K57" s="40" t="str">
        <x:f>IF(AND(COUNTA(B57:C57)=0,COUNTA(E57:G57)=0,COUNTA(I57:J57)=0),"",IF(NOT(AND(ISNUMBER(B57),B57&gt;0,B57=INT(B57))),"Revisar: fecha",IF(OR(COUNTIFS('Inventario'!$B$14:$B$43,C57)&lt;&gt;1,NOT(OR(D57="kg",D57="g",D57="l",D57="ml",D57="pza"))),"Revisar: código",IF(NOT(OR(E57="Entrada",E57="Salida",E57="Merma")),"Revisar: tipo",IF(NOT(AND(ISNUMBER(F57),F57&gt;0)),"Revisar: cantidad",IF(AND(E57="Entrada",NOT(AND(ISNUMBER(G57),G57&gt;=0))),"Revisar: costo de compra",IF(AND(E57&lt;&gt;"Entrada",G57&lt;&gt;""),"Revisar: costo solo entrada","OK")))))))</x:f>
      </x:c>
    </x:row>
    <x:row r="58" ht="24" customHeight="1">
      <x:c r="A58" s="3"/>
      <x:c r="B58" s="25"/>
      <x:c r="C58" s="24"/>
      <x:c r="D58" s="3" t="str">
        <x:f>IF(AND(COUNTA(B58:C58)=0,COUNTA(E58:G58)=0,COUNTA(I58:J58)=0),"",IF(COUNTIFS('Inventario'!$B$14:$B$43,C58)=1,INDEX('Inventario'!$D$14:$D$43,MATCH(C58,'Inventario'!$B$14:$B$43,0)),"Revisar código"))</x:f>
      </x:c>
      <x:c r="E58" s="24"/>
      <x:c r="F58" s="41"/>
      <x:c r="G58" s="38"/>
      <x:c r="H58" s="16" t="str">
        <x:f>IF(AND(COUNTA(B58:C58)=0,COUNTA(E58:G58)=0,COUNTA(I58:J58)=0),"",IF(K58&lt;&gt;"OK","Revisar datos",IF(E58="Entrada",F58*G58,0)))</x:f>
      </x:c>
      <x:c r="I58" s="24"/>
      <x:c r="J58" s="24"/>
      <x:c r="K58" s="40" t="str">
        <x:f>IF(AND(COUNTA(B58:C58)=0,COUNTA(E58:G58)=0,COUNTA(I58:J58)=0),"",IF(NOT(AND(ISNUMBER(B58),B58&gt;0,B58=INT(B58))),"Revisar: fecha",IF(OR(COUNTIFS('Inventario'!$B$14:$B$43,C58)&lt;&gt;1,NOT(OR(D58="kg",D58="g",D58="l",D58="ml",D58="pza"))),"Revisar: código",IF(NOT(OR(E58="Entrada",E58="Salida",E58="Merma")),"Revisar: tipo",IF(NOT(AND(ISNUMBER(F58),F58&gt;0)),"Revisar: cantidad",IF(AND(E58="Entrada",NOT(AND(ISNUMBER(G58),G58&gt;=0))),"Revisar: costo de compra",IF(AND(E58&lt;&gt;"Entrada",G58&lt;&gt;""),"Revisar: costo solo entrada","OK")))))))</x:f>
      </x:c>
    </x:row>
    <x:row r="59" ht="24" customHeight="1">
      <x:c r="A59" s="3"/>
      <x:c r="B59" s="25"/>
      <x:c r="C59" s="24"/>
      <x:c r="D59" s="3" t="str">
        <x:f>IF(AND(COUNTA(B59:C59)=0,COUNTA(E59:G59)=0,COUNTA(I59:J59)=0),"",IF(COUNTIFS('Inventario'!$B$14:$B$43,C59)=1,INDEX('Inventario'!$D$14:$D$43,MATCH(C59,'Inventario'!$B$14:$B$43,0)),"Revisar código"))</x:f>
      </x:c>
      <x:c r="E59" s="24"/>
      <x:c r="F59" s="41"/>
      <x:c r="G59" s="38"/>
      <x:c r="H59" s="16" t="str">
        <x:f>IF(AND(COUNTA(B59:C59)=0,COUNTA(E59:G59)=0,COUNTA(I59:J59)=0),"",IF(K59&lt;&gt;"OK","Revisar datos",IF(E59="Entrada",F59*G59,0)))</x:f>
      </x:c>
      <x:c r="I59" s="24"/>
      <x:c r="J59" s="24"/>
      <x:c r="K59" s="40" t="str">
        <x:f>IF(AND(COUNTA(B59:C59)=0,COUNTA(E59:G59)=0,COUNTA(I59:J59)=0),"",IF(NOT(AND(ISNUMBER(B59),B59&gt;0,B59=INT(B59))),"Revisar: fecha",IF(OR(COUNTIFS('Inventario'!$B$14:$B$43,C59)&lt;&gt;1,NOT(OR(D59="kg",D59="g",D59="l",D59="ml",D59="pza"))),"Revisar: código",IF(NOT(OR(E59="Entrada",E59="Salida",E59="Merma")),"Revisar: tipo",IF(NOT(AND(ISNUMBER(F59),F59&gt;0)),"Revisar: cantidad",IF(AND(E59="Entrada",NOT(AND(ISNUMBER(G59),G59&gt;=0))),"Revisar: costo de compra",IF(AND(E59&lt;&gt;"Entrada",G59&lt;&gt;""),"Revisar: costo solo entrada","OK")))))))</x:f>
      </x:c>
    </x:row>
    <x:row r="60" ht="24" customHeight="1">
      <x:c r="A60" s="3"/>
      <x:c r="B60" s="25"/>
      <x:c r="C60" s="24"/>
      <x:c r="D60" s="3" t="str">
        <x:f>IF(AND(COUNTA(B60:C60)=0,COUNTA(E60:G60)=0,COUNTA(I60:J60)=0),"",IF(COUNTIFS('Inventario'!$B$14:$B$43,C60)=1,INDEX('Inventario'!$D$14:$D$43,MATCH(C60,'Inventario'!$B$14:$B$43,0)),"Revisar código"))</x:f>
      </x:c>
      <x:c r="E60" s="24"/>
      <x:c r="F60" s="41"/>
      <x:c r="G60" s="38"/>
      <x:c r="H60" s="16" t="str">
        <x:f>IF(AND(COUNTA(B60:C60)=0,COUNTA(E60:G60)=0,COUNTA(I60:J60)=0),"",IF(K60&lt;&gt;"OK","Revisar datos",IF(E60="Entrada",F60*G60,0)))</x:f>
      </x:c>
      <x:c r="I60" s="24"/>
      <x:c r="J60" s="24"/>
      <x:c r="K60" s="40" t="str">
        <x:f>IF(AND(COUNTA(B60:C60)=0,COUNTA(E60:G60)=0,COUNTA(I60:J60)=0),"",IF(NOT(AND(ISNUMBER(B60),B60&gt;0,B60=INT(B60))),"Revisar: fecha",IF(OR(COUNTIFS('Inventario'!$B$14:$B$43,C60)&lt;&gt;1,NOT(OR(D60="kg",D60="g",D60="l",D60="ml",D60="pza"))),"Revisar: código",IF(NOT(OR(E60="Entrada",E60="Salida",E60="Merma")),"Revisar: tipo",IF(NOT(AND(ISNUMBER(F60),F60&gt;0)),"Revisar: cantidad",IF(AND(E60="Entrada",NOT(AND(ISNUMBER(G60),G60&gt;=0))),"Revisar: costo de compra",IF(AND(E60&lt;&gt;"Entrada",G60&lt;&gt;""),"Revisar: costo solo entrada","OK")))))))</x:f>
      </x:c>
    </x:row>
    <x:row r="61" ht="24" customHeight="1">
      <x:c r="A61" s="3"/>
      <x:c r="B61" s="25"/>
      <x:c r="C61" s="24"/>
      <x:c r="D61" s="3" t="str">
        <x:f>IF(AND(COUNTA(B61:C61)=0,COUNTA(E61:G61)=0,COUNTA(I61:J61)=0),"",IF(COUNTIFS('Inventario'!$B$14:$B$43,C61)=1,INDEX('Inventario'!$D$14:$D$43,MATCH(C61,'Inventario'!$B$14:$B$43,0)),"Revisar código"))</x:f>
      </x:c>
      <x:c r="E61" s="24"/>
      <x:c r="F61" s="41"/>
      <x:c r="G61" s="38"/>
      <x:c r="H61" s="16" t="str">
        <x:f>IF(AND(COUNTA(B61:C61)=0,COUNTA(E61:G61)=0,COUNTA(I61:J61)=0),"",IF(K61&lt;&gt;"OK","Revisar datos",IF(E61="Entrada",F61*G61,0)))</x:f>
      </x:c>
      <x:c r="I61" s="24"/>
      <x:c r="J61" s="24"/>
      <x:c r="K61" s="40" t="str">
        <x:f>IF(AND(COUNTA(B61:C61)=0,COUNTA(E61:G61)=0,COUNTA(I61:J61)=0),"",IF(NOT(AND(ISNUMBER(B61),B61&gt;0,B61=INT(B61))),"Revisar: fecha",IF(OR(COUNTIFS('Inventario'!$B$14:$B$43,C61)&lt;&gt;1,NOT(OR(D61="kg",D61="g",D61="l",D61="ml",D61="pza"))),"Revisar: código",IF(NOT(OR(E61="Entrada",E61="Salida",E61="Merma")),"Revisar: tipo",IF(NOT(AND(ISNUMBER(F61),F61&gt;0)),"Revisar: cantidad",IF(AND(E61="Entrada",NOT(AND(ISNUMBER(G61),G61&gt;=0))),"Revisar: costo de compra",IF(AND(E61&lt;&gt;"Entrada",G61&lt;&gt;""),"Revisar: costo solo entrada","OK")))))))</x:f>
      </x:c>
    </x:row>
    <x:row r="62" ht="24" customHeight="1">
      <x:c r="A62" s="3"/>
      <x:c r="B62" s="25"/>
      <x:c r="C62" s="24"/>
      <x:c r="D62" s="3" t="str">
        <x:f>IF(AND(COUNTA(B62:C62)=0,COUNTA(E62:G62)=0,COUNTA(I62:J62)=0),"",IF(COUNTIFS('Inventario'!$B$14:$B$43,C62)=1,INDEX('Inventario'!$D$14:$D$43,MATCH(C62,'Inventario'!$B$14:$B$43,0)),"Revisar código"))</x:f>
      </x:c>
      <x:c r="E62" s="24"/>
      <x:c r="F62" s="41"/>
      <x:c r="G62" s="38"/>
      <x:c r="H62" s="16" t="str">
        <x:f>IF(AND(COUNTA(B62:C62)=0,COUNTA(E62:G62)=0,COUNTA(I62:J62)=0),"",IF(K62&lt;&gt;"OK","Revisar datos",IF(E62="Entrada",F62*G62,0)))</x:f>
      </x:c>
      <x:c r="I62" s="24"/>
      <x:c r="J62" s="24"/>
      <x:c r="K62" s="40" t="str">
        <x:f>IF(AND(COUNTA(B62:C62)=0,COUNTA(E62:G62)=0,COUNTA(I62:J62)=0),"",IF(NOT(AND(ISNUMBER(B62),B62&gt;0,B62=INT(B62))),"Revisar: fecha",IF(OR(COUNTIFS('Inventario'!$B$14:$B$43,C62)&lt;&gt;1,NOT(OR(D62="kg",D62="g",D62="l",D62="ml",D62="pza"))),"Revisar: código",IF(NOT(OR(E62="Entrada",E62="Salida",E62="Merma")),"Revisar: tipo",IF(NOT(AND(ISNUMBER(F62),F62&gt;0)),"Revisar: cantidad",IF(AND(E62="Entrada",NOT(AND(ISNUMBER(G62),G62&gt;=0))),"Revisar: costo de compra",IF(AND(E62&lt;&gt;"Entrada",G62&lt;&gt;""),"Revisar: costo solo entrada","OK")))))))</x:f>
      </x:c>
    </x:row>
    <x:row r="63" ht="24" customHeight="1">
      <x:c r="A63" s="3"/>
      <x:c r="B63" s="25"/>
      <x:c r="C63" s="24"/>
      <x:c r="D63" s="3" t="str">
        <x:f>IF(AND(COUNTA(B63:C63)=0,COUNTA(E63:G63)=0,COUNTA(I63:J63)=0),"",IF(COUNTIFS('Inventario'!$B$14:$B$43,C63)=1,INDEX('Inventario'!$D$14:$D$43,MATCH(C63,'Inventario'!$B$14:$B$43,0)),"Revisar código"))</x:f>
      </x:c>
      <x:c r="E63" s="24"/>
      <x:c r="F63" s="41"/>
      <x:c r="G63" s="38"/>
      <x:c r="H63" s="16" t="str">
        <x:f>IF(AND(COUNTA(B63:C63)=0,COUNTA(E63:G63)=0,COUNTA(I63:J63)=0),"",IF(K63&lt;&gt;"OK","Revisar datos",IF(E63="Entrada",F63*G63,0)))</x:f>
      </x:c>
      <x:c r="I63" s="24"/>
      <x:c r="J63" s="24"/>
      <x:c r="K63" s="40" t="str">
        <x:f>IF(AND(COUNTA(B63:C63)=0,COUNTA(E63:G63)=0,COUNTA(I63:J63)=0),"",IF(NOT(AND(ISNUMBER(B63),B63&gt;0,B63=INT(B63))),"Revisar: fecha",IF(OR(COUNTIFS('Inventario'!$B$14:$B$43,C63)&lt;&gt;1,NOT(OR(D63="kg",D63="g",D63="l",D63="ml",D63="pza"))),"Revisar: código",IF(NOT(OR(E63="Entrada",E63="Salida",E63="Merma")),"Revisar: tipo",IF(NOT(AND(ISNUMBER(F63),F63&gt;0)),"Revisar: cantidad",IF(AND(E63="Entrada",NOT(AND(ISNUMBER(G63),G63&gt;=0))),"Revisar: costo de compra",IF(AND(E63&lt;&gt;"Entrada",G63&lt;&gt;""),"Revisar: costo solo entrada","OK")))))))</x:f>
      </x:c>
    </x:row>
    <x:row r="64" ht="24" customHeight="1">
      <x:c r="A64" s="3"/>
      <x:c r="B64" s="25"/>
      <x:c r="C64" s="24"/>
      <x:c r="D64" s="3" t="str">
        <x:f>IF(AND(COUNTA(B64:C64)=0,COUNTA(E64:G64)=0,COUNTA(I64:J64)=0),"",IF(COUNTIFS('Inventario'!$B$14:$B$43,C64)=1,INDEX('Inventario'!$D$14:$D$43,MATCH(C64,'Inventario'!$B$14:$B$43,0)),"Revisar código"))</x:f>
      </x:c>
      <x:c r="E64" s="24"/>
      <x:c r="F64" s="41"/>
      <x:c r="G64" s="38"/>
      <x:c r="H64" s="16" t="str">
        <x:f>IF(AND(COUNTA(B64:C64)=0,COUNTA(E64:G64)=0,COUNTA(I64:J64)=0),"",IF(K64&lt;&gt;"OK","Revisar datos",IF(E64="Entrada",F64*G64,0)))</x:f>
      </x:c>
      <x:c r="I64" s="24"/>
      <x:c r="J64" s="24"/>
      <x:c r="K64" s="40" t="str">
        <x:f>IF(AND(COUNTA(B64:C64)=0,COUNTA(E64:G64)=0,COUNTA(I64:J64)=0),"",IF(NOT(AND(ISNUMBER(B64),B64&gt;0,B64=INT(B64))),"Revisar: fecha",IF(OR(COUNTIFS('Inventario'!$B$14:$B$43,C64)&lt;&gt;1,NOT(OR(D64="kg",D64="g",D64="l",D64="ml",D64="pza"))),"Revisar: código",IF(NOT(OR(E64="Entrada",E64="Salida",E64="Merma")),"Revisar: tipo",IF(NOT(AND(ISNUMBER(F64),F64&gt;0)),"Revisar: cantidad",IF(AND(E64="Entrada",NOT(AND(ISNUMBER(G64),G64&gt;=0))),"Revisar: costo de compra",IF(AND(E64&lt;&gt;"Entrada",G64&lt;&gt;""),"Revisar: costo solo entrada","OK")))))))</x:f>
      </x:c>
    </x:row>
    <x:row r="65" ht="24" customHeight="1">
      <x:c r="A65" s="3"/>
      <x:c r="B65" s="25"/>
      <x:c r="C65" s="24"/>
      <x:c r="D65" s="3" t="str">
        <x:f>IF(AND(COUNTA(B65:C65)=0,COUNTA(E65:G65)=0,COUNTA(I65:J65)=0),"",IF(COUNTIFS('Inventario'!$B$14:$B$43,C65)=1,INDEX('Inventario'!$D$14:$D$43,MATCH(C65,'Inventario'!$B$14:$B$43,0)),"Revisar código"))</x:f>
      </x:c>
      <x:c r="E65" s="24"/>
      <x:c r="F65" s="41"/>
      <x:c r="G65" s="38"/>
      <x:c r="H65" s="16" t="str">
        <x:f>IF(AND(COUNTA(B65:C65)=0,COUNTA(E65:G65)=0,COUNTA(I65:J65)=0),"",IF(K65&lt;&gt;"OK","Revisar datos",IF(E65="Entrada",F65*G65,0)))</x:f>
      </x:c>
      <x:c r="I65" s="24"/>
      <x:c r="J65" s="24"/>
      <x:c r="K65" s="40" t="str">
        <x:f>IF(AND(COUNTA(B65:C65)=0,COUNTA(E65:G65)=0,COUNTA(I65:J65)=0),"",IF(NOT(AND(ISNUMBER(B65),B65&gt;0,B65=INT(B65))),"Revisar: fecha",IF(OR(COUNTIFS('Inventario'!$B$14:$B$43,C65)&lt;&gt;1,NOT(OR(D65="kg",D65="g",D65="l",D65="ml",D65="pza"))),"Revisar: código",IF(NOT(OR(E65="Entrada",E65="Salida",E65="Merma")),"Revisar: tipo",IF(NOT(AND(ISNUMBER(F65),F65&gt;0)),"Revisar: cantidad",IF(AND(E65="Entrada",NOT(AND(ISNUMBER(G65),G65&gt;=0))),"Revisar: costo de compra",IF(AND(E65&lt;&gt;"Entrada",G65&lt;&gt;""),"Revisar: costo solo entrada","OK")))))))</x:f>
      </x:c>
    </x:row>
    <x:row r="66" ht="24" customHeight="1">
      <x:c r="A66" s="3"/>
      <x:c r="B66" s="25"/>
      <x:c r="C66" s="24"/>
      <x:c r="D66" s="3" t="str">
        <x:f>IF(AND(COUNTA(B66:C66)=0,COUNTA(E66:G66)=0,COUNTA(I66:J66)=0),"",IF(COUNTIFS('Inventario'!$B$14:$B$43,C66)=1,INDEX('Inventario'!$D$14:$D$43,MATCH(C66,'Inventario'!$B$14:$B$43,0)),"Revisar código"))</x:f>
      </x:c>
      <x:c r="E66" s="24"/>
      <x:c r="F66" s="41"/>
      <x:c r="G66" s="38"/>
      <x:c r="H66" s="16" t="str">
        <x:f>IF(AND(COUNTA(B66:C66)=0,COUNTA(E66:G66)=0,COUNTA(I66:J66)=0),"",IF(K66&lt;&gt;"OK","Revisar datos",IF(E66="Entrada",F66*G66,0)))</x:f>
      </x:c>
      <x:c r="I66" s="24"/>
      <x:c r="J66" s="24"/>
      <x:c r="K66" s="40" t="str">
        <x:f>IF(AND(COUNTA(B66:C66)=0,COUNTA(E66:G66)=0,COUNTA(I66:J66)=0),"",IF(NOT(AND(ISNUMBER(B66),B66&gt;0,B66=INT(B66))),"Revisar: fecha",IF(OR(COUNTIFS('Inventario'!$B$14:$B$43,C66)&lt;&gt;1,NOT(OR(D66="kg",D66="g",D66="l",D66="ml",D66="pza"))),"Revisar: código",IF(NOT(OR(E66="Entrada",E66="Salida",E66="Merma")),"Revisar: tipo",IF(NOT(AND(ISNUMBER(F66),F66&gt;0)),"Revisar: cantidad",IF(AND(E66="Entrada",NOT(AND(ISNUMBER(G66),G66&gt;=0))),"Revisar: costo de compra",IF(AND(E66&lt;&gt;"Entrada",G66&lt;&gt;""),"Revisar: costo solo entrada","OK")))))))</x:f>
      </x:c>
    </x:row>
    <x:row r="67" ht="24" customHeight="1">
      <x:c r="A67" s="3"/>
      <x:c r="B67" s="25"/>
      <x:c r="C67" s="24"/>
      <x:c r="D67" s="3" t="str">
        <x:f>IF(AND(COUNTA(B67:C67)=0,COUNTA(E67:G67)=0,COUNTA(I67:J67)=0),"",IF(COUNTIFS('Inventario'!$B$14:$B$43,C67)=1,INDEX('Inventario'!$D$14:$D$43,MATCH(C67,'Inventario'!$B$14:$B$43,0)),"Revisar código"))</x:f>
      </x:c>
      <x:c r="E67" s="24"/>
      <x:c r="F67" s="41"/>
      <x:c r="G67" s="38"/>
      <x:c r="H67" s="16" t="str">
        <x:f>IF(AND(COUNTA(B67:C67)=0,COUNTA(E67:G67)=0,COUNTA(I67:J67)=0),"",IF(K67&lt;&gt;"OK","Revisar datos",IF(E67="Entrada",F67*G67,0)))</x:f>
      </x:c>
      <x:c r="I67" s="24"/>
      <x:c r="J67" s="24"/>
      <x:c r="K67" s="40" t="str">
        <x:f>IF(AND(COUNTA(B67:C67)=0,COUNTA(E67:G67)=0,COUNTA(I67:J67)=0),"",IF(NOT(AND(ISNUMBER(B67),B67&gt;0,B67=INT(B67))),"Revisar: fecha",IF(OR(COUNTIFS('Inventario'!$B$14:$B$43,C67)&lt;&gt;1,NOT(OR(D67="kg",D67="g",D67="l",D67="ml",D67="pza"))),"Revisar: código",IF(NOT(OR(E67="Entrada",E67="Salida",E67="Merma")),"Revisar: tipo",IF(NOT(AND(ISNUMBER(F67),F67&gt;0)),"Revisar: cantidad",IF(AND(E67="Entrada",NOT(AND(ISNUMBER(G67),G67&gt;=0))),"Revisar: costo de compra",IF(AND(E67&lt;&gt;"Entrada",G67&lt;&gt;""),"Revisar: costo solo entrada","OK")))))))</x:f>
      </x:c>
    </x:row>
    <x:row r="68" ht="24" customHeight="1">
      <x:c r="A68" s="3"/>
      <x:c r="B68" s="25"/>
      <x:c r="C68" s="24"/>
      <x:c r="D68" s="3" t="str">
        <x:f>IF(AND(COUNTA(B68:C68)=0,COUNTA(E68:G68)=0,COUNTA(I68:J68)=0),"",IF(COUNTIFS('Inventario'!$B$14:$B$43,C68)=1,INDEX('Inventario'!$D$14:$D$43,MATCH(C68,'Inventario'!$B$14:$B$43,0)),"Revisar código"))</x:f>
      </x:c>
      <x:c r="E68" s="24"/>
      <x:c r="F68" s="41"/>
      <x:c r="G68" s="38"/>
      <x:c r="H68" s="16" t="str">
        <x:f>IF(AND(COUNTA(B68:C68)=0,COUNTA(E68:G68)=0,COUNTA(I68:J68)=0),"",IF(K68&lt;&gt;"OK","Revisar datos",IF(E68="Entrada",F68*G68,0)))</x:f>
      </x:c>
      <x:c r="I68" s="24"/>
      <x:c r="J68" s="24"/>
      <x:c r="K68" s="40" t="str">
        <x:f>IF(AND(COUNTA(B68:C68)=0,COUNTA(E68:G68)=0,COUNTA(I68:J68)=0),"",IF(NOT(AND(ISNUMBER(B68),B68&gt;0,B68=INT(B68))),"Revisar: fecha",IF(OR(COUNTIFS('Inventario'!$B$14:$B$43,C68)&lt;&gt;1,NOT(OR(D68="kg",D68="g",D68="l",D68="ml",D68="pza"))),"Revisar: código",IF(NOT(OR(E68="Entrada",E68="Salida",E68="Merma")),"Revisar: tipo",IF(NOT(AND(ISNUMBER(F68),F68&gt;0)),"Revisar: cantidad",IF(AND(E68="Entrada",NOT(AND(ISNUMBER(G68),G68&gt;=0))),"Revisar: costo de compra",IF(AND(E68&lt;&gt;"Entrada",G68&lt;&gt;""),"Revisar: costo solo entrada","OK")))))))</x:f>
      </x:c>
    </x:row>
    <x:row r="69" ht="24" customHeight="1">
      <x:c r="A69" s="3"/>
      <x:c r="B69" s="25"/>
      <x:c r="C69" s="24"/>
      <x:c r="D69" s="3" t="str">
        <x:f>IF(AND(COUNTA(B69:C69)=0,COUNTA(E69:G69)=0,COUNTA(I69:J69)=0),"",IF(COUNTIFS('Inventario'!$B$14:$B$43,C69)=1,INDEX('Inventario'!$D$14:$D$43,MATCH(C69,'Inventario'!$B$14:$B$43,0)),"Revisar código"))</x:f>
      </x:c>
      <x:c r="E69" s="24"/>
      <x:c r="F69" s="41"/>
      <x:c r="G69" s="38"/>
      <x:c r="H69" s="16" t="str">
        <x:f>IF(AND(COUNTA(B69:C69)=0,COUNTA(E69:G69)=0,COUNTA(I69:J69)=0),"",IF(K69&lt;&gt;"OK","Revisar datos",IF(E69="Entrada",F69*G69,0)))</x:f>
      </x:c>
      <x:c r="I69" s="24"/>
      <x:c r="J69" s="24"/>
      <x:c r="K69" s="40" t="str">
        <x:f>IF(AND(COUNTA(B69:C69)=0,COUNTA(E69:G69)=0,COUNTA(I69:J69)=0),"",IF(NOT(AND(ISNUMBER(B69),B69&gt;0,B69=INT(B69))),"Revisar: fecha",IF(OR(COUNTIFS('Inventario'!$B$14:$B$43,C69)&lt;&gt;1,NOT(OR(D69="kg",D69="g",D69="l",D69="ml",D69="pza"))),"Revisar: código",IF(NOT(OR(E69="Entrada",E69="Salida",E69="Merma")),"Revisar: tipo",IF(NOT(AND(ISNUMBER(F69),F69&gt;0)),"Revisar: cantidad",IF(AND(E69="Entrada",NOT(AND(ISNUMBER(G69),G69&gt;=0))),"Revisar: costo de compra",IF(AND(E69&lt;&gt;"Entrada",G69&lt;&gt;""),"Revisar: costo solo entrada","OK")))))))</x:f>
      </x:c>
    </x:row>
    <x:row r="70" ht="24" customHeight="1">
      <x:c r="A70" s="3"/>
      <x:c r="B70" s="25"/>
      <x:c r="C70" s="24"/>
      <x:c r="D70" s="3" t="str">
        <x:f>IF(AND(COUNTA(B70:C70)=0,COUNTA(E70:G70)=0,COUNTA(I70:J70)=0),"",IF(COUNTIFS('Inventario'!$B$14:$B$43,C70)=1,INDEX('Inventario'!$D$14:$D$43,MATCH(C70,'Inventario'!$B$14:$B$43,0)),"Revisar código"))</x:f>
      </x:c>
      <x:c r="E70" s="24"/>
      <x:c r="F70" s="41"/>
      <x:c r="G70" s="38"/>
      <x:c r="H70" s="16" t="str">
        <x:f>IF(AND(COUNTA(B70:C70)=0,COUNTA(E70:G70)=0,COUNTA(I70:J70)=0),"",IF(K70&lt;&gt;"OK","Revisar datos",IF(E70="Entrada",F70*G70,0)))</x:f>
      </x:c>
      <x:c r="I70" s="24"/>
      <x:c r="J70" s="24"/>
      <x:c r="K70" s="40" t="str">
        <x:f>IF(AND(COUNTA(B70:C70)=0,COUNTA(E70:G70)=0,COUNTA(I70:J70)=0),"",IF(NOT(AND(ISNUMBER(B70),B70&gt;0,B70=INT(B70))),"Revisar: fecha",IF(OR(COUNTIFS('Inventario'!$B$14:$B$43,C70)&lt;&gt;1,NOT(OR(D70="kg",D70="g",D70="l",D70="ml",D70="pza"))),"Revisar: código",IF(NOT(OR(E70="Entrada",E70="Salida",E70="Merma")),"Revisar: tipo",IF(NOT(AND(ISNUMBER(F70),F70&gt;0)),"Revisar: cantidad",IF(AND(E70="Entrada",NOT(AND(ISNUMBER(G70),G70&gt;=0))),"Revisar: costo de compra",IF(AND(E70&lt;&gt;"Entrada",G70&lt;&gt;""),"Revisar: costo solo entrada","OK")))))))</x:f>
      </x:c>
    </x:row>
    <x:row r="71" ht="24" customHeight="1">
      <x:c r="A71" s="3"/>
      <x:c r="B71" s="25"/>
      <x:c r="C71" s="24"/>
      <x:c r="D71" s="3" t="str">
        <x:f>IF(AND(COUNTA(B71:C71)=0,COUNTA(E71:G71)=0,COUNTA(I71:J71)=0),"",IF(COUNTIFS('Inventario'!$B$14:$B$43,C71)=1,INDEX('Inventario'!$D$14:$D$43,MATCH(C71,'Inventario'!$B$14:$B$43,0)),"Revisar código"))</x:f>
      </x:c>
      <x:c r="E71" s="24"/>
      <x:c r="F71" s="41"/>
      <x:c r="G71" s="38"/>
      <x:c r="H71" s="16" t="str">
        <x:f>IF(AND(COUNTA(B71:C71)=0,COUNTA(E71:G71)=0,COUNTA(I71:J71)=0),"",IF(K71&lt;&gt;"OK","Revisar datos",IF(E71="Entrada",F71*G71,0)))</x:f>
      </x:c>
      <x:c r="I71" s="24"/>
      <x:c r="J71" s="24"/>
      <x:c r="K71" s="40" t="str">
        <x:f>IF(AND(COUNTA(B71:C71)=0,COUNTA(E71:G71)=0,COUNTA(I71:J71)=0),"",IF(NOT(AND(ISNUMBER(B71),B71&gt;0,B71=INT(B71))),"Revisar: fecha",IF(OR(COUNTIFS('Inventario'!$B$14:$B$43,C71)&lt;&gt;1,NOT(OR(D71="kg",D71="g",D71="l",D71="ml",D71="pza"))),"Revisar: código",IF(NOT(OR(E71="Entrada",E71="Salida",E71="Merma")),"Revisar: tipo",IF(NOT(AND(ISNUMBER(F71),F71&gt;0)),"Revisar: cantidad",IF(AND(E71="Entrada",NOT(AND(ISNUMBER(G71),G71&gt;=0))),"Revisar: costo de compra",IF(AND(E71&lt;&gt;"Entrada",G71&lt;&gt;""),"Revisar: costo solo entrada","OK")))))))</x:f>
      </x:c>
    </x:row>
    <x:row r="72" ht="24" customHeight="1">
      <x:c r="A72" s="3"/>
      <x:c r="B72" s="25"/>
      <x:c r="C72" s="24"/>
      <x:c r="D72" s="3" t="str">
        <x:f>IF(AND(COUNTA(B72:C72)=0,COUNTA(E72:G72)=0,COUNTA(I72:J72)=0),"",IF(COUNTIFS('Inventario'!$B$14:$B$43,C72)=1,INDEX('Inventario'!$D$14:$D$43,MATCH(C72,'Inventario'!$B$14:$B$43,0)),"Revisar código"))</x:f>
      </x:c>
      <x:c r="E72" s="24"/>
      <x:c r="F72" s="41"/>
      <x:c r="G72" s="38"/>
      <x:c r="H72" s="16" t="str">
        <x:f>IF(AND(COUNTA(B72:C72)=0,COUNTA(E72:G72)=0,COUNTA(I72:J72)=0),"",IF(K72&lt;&gt;"OK","Revisar datos",IF(E72="Entrada",F72*G72,0)))</x:f>
      </x:c>
      <x:c r="I72" s="24"/>
      <x:c r="J72" s="24"/>
      <x:c r="K72" s="40" t="str">
        <x:f>IF(AND(COUNTA(B72:C72)=0,COUNTA(E72:G72)=0,COUNTA(I72:J72)=0),"",IF(NOT(AND(ISNUMBER(B72),B72&gt;0,B72=INT(B72))),"Revisar: fecha",IF(OR(COUNTIFS('Inventario'!$B$14:$B$43,C72)&lt;&gt;1,NOT(OR(D72="kg",D72="g",D72="l",D72="ml",D72="pza"))),"Revisar: código",IF(NOT(OR(E72="Entrada",E72="Salida",E72="Merma")),"Revisar: tipo",IF(NOT(AND(ISNUMBER(F72),F72&gt;0)),"Revisar: cantidad",IF(AND(E72="Entrada",NOT(AND(ISNUMBER(G72),G72&gt;=0))),"Revisar: costo de compra",IF(AND(E72&lt;&gt;"Entrada",G72&lt;&gt;""),"Revisar: costo solo entrada","OK")))))))</x:f>
      </x:c>
    </x:row>
    <x:row r="73" ht="24" customHeight="1">
      <x:c r="A73" s="3"/>
      <x:c r="B73" s="25"/>
      <x:c r="C73" s="24"/>
      <x:c r="D73" s="3" t="str">
        <x:f>IF(AND(COUNTA(B73:C73)=0,COUNTA(E73:G73)=0,COUNTA(I73:J73)=0),"",IF(COUNTIFS('Inventario'!$B$14:$B$43,C73)=1,INDEX('Inventario'!$D$14:$D$43,MATCH(C73,'Inventario'!$B$14:$B$43,0)),"Revisar código"))</x:f>
      </x:c>
      <x:c r="E73" s="24"/>
      <x:c r="F73" s="41"/>
      <x:c r="G73" s="38"/>
      <x:c r="H73" s="16" t="str">
        <x:f>IF(AND(COUNTA(B73:C73)=0,COUNTA(E73:G73)=0,COUNTA(I73:J73)=0),"",IF(K73&lt;&gt;"OK","Revisar datos",IF(E73="Entrada",F73*G73,0)))</x:f>
      </x:c>
      <x:c r="I73" s="24"/>
      <x:c r="J73" s="24"/>
      <x:c r="K73" s="40" t="str">
        <x:f>IF(AND(COUNTA(B73:C73)=0,COUNTA(E73:G73)=0,COUNTA(I73:J73)=0),"",IF(NOT(AND(ISNUMBER(B73),B73&gt;0,B73=INT(B73))),"Revisar: fecha",IF(OR(COUNTIFS('Inventario'!$B$14:$B$43,C73)&lt;&gt;1,NOT(OR(D73="kg",D73="g",D73="l",D73="ml",D73="pza"))),"Revisar: código",IF(NOT(OR(E73="Entrada",E73="Salida",E73="Merma")),"Revisar: tipo",IF(NOT(AND(ISNUMBER(F73),F73&gt;0)),"Revisar: cantidad",IF(AND(E73="Entrada",NOT(AND(ISNUMBER(G73),G73&gt;=0))),"Revisar: costo de compra",IF(AND(E73&lt;&gt;"Entrada",G73&lt;&gt;""),"Revisar: costo solo entrada","OK")))))))</x:f>
      </x:c>
    </x:row>
    <x:row r="74" ht="24" customHeight="1">
      <x:c r="A74" s="3"/>
      <x:c r="B74" s="25"/>
      <x:c r="C74" s="24"/>
      <x:c r="D74" s="3" t="str">
        <x:f>IF(AND(COUNTA(B74:C74)=0,COUNTA(E74:G74)=0,COUNTA(I74:J74)=0),"",IF(COUNTIFS('Inventario'!$B$14:$B$43,C74)=1,INDEX('Inventario'!$D$14:$D$43,MATCH(C74,'Inventario'!$B$14:$B$43,0)),"Revisar código"))</x:f>
      </x:c>
      <x:c r="E74" s="24"/>
      <x:c r="F74" s="41"/>
      <x:c r="G74" s="38"/>
      <x:c r="H74" s="16" t="str">
        <x:f>IF(AND(COUNTA(B74:C74)=0,COUNTA(E74:G74)=0,COUNTA(I74:J74)=0),"",IF(K74&lt;&gt;"OK","Revisar datos",IF(E74="Entrada",F74*G74,0)))</x:f>
      </x:c>
      <x:c r="I74" s="24"/>
      <x:c r="J74" s="24"/>
      <x:c r="K74" s="40" t="str">
        <x:f>IF(AND(COUNTA(B74:C74)=0,COUNTA(E74:G74)=0,COUNTA(I74:J74)=0),"",IF(NOT(AND(ISNUMBER(B74),B74&gt;0,B74=INT(B74))),"Revisar: fecha",IF(OR(COUNTIFS('Inventario'!$B$14:$B$43,C74)&lt;&gt;1,NOT(OR(D74="kg",D74="g",D74="l",D74="ml",D74="pza"))),"Revisar: código",IF(NOT(OR(E74="Entrada",E74="Salida",E74="Merma")),"Revisar: tipo",IF(NOT(AND(ISNUMBER(F74),F74&gt;0)),"Revisar: cantidad",IF(AND(E74="Entrada",NOT(AND(ISNUMBER(G74),G74&gt;=0))),"Revisar: costo de compra",IF(AND(E74&lt;&gt;"Entrada",G74&lt;&gt;""),"Revisar: costo solo entrada","OK")))))))</x:f>
      </x:c>
    </x:row>
    <x:row r="75" ht="24" customHeight="1">
      <x:c r="A75" s="3"/>
      <x:c r="B75" s="25"/>
      <x:c r="C75" s="24"/>
      <x:c r="D75" s="3" t="str">
        <x:f>IF(AND(COUNTA(B75:C75)=0,COUNTA(E75:G75)=0,COUNTA(I75:J75)=0),"",IF(COUNTIFS('Inventario'!$B$14:$B$43,C75)=1,INDEX('Inventario'!$D$14:$D$43,MATCH(C75,'Inventario'!$B$14:$B$43,0)),"Revisar código"))</x:f>
      </x:c>
      <x:c r="E75" s="24"/>
      <x:c r="F75" s="41"/>
      <x:c r="G75" s="38"/>
      <x:c r="H75" s="16" t="str">
        <x:f>IF(AND(COUNTA(B75:C75)=0,COUNTA(E75:G75)=0,COUNTA(I75:J75)=0),"",IF(K75&lt;&gt;"OK","Revisar datos",IF(E75="Entrada",F75*G75,0)))</x:f>
      </x:c>
      <x:c r="I75" s="24"/>
      <x:c r="J75" s="24"/>
      <x:c r="K75" s="40" t="str">
        <x:f>IF(AND(COUNTA(B75:C75)=0,COUNTA(E75:G75)=0,COUNTA(I75:J75)=0),"",IF(NOT(AND(ISNUMBER(B75),B75&gt;0,B75=INT(B75))),"Revisar: fecha",IF(OR(COUNTIFS('Inventario'!$B$14:$B$43,C75)&lt;&gt;1,NOT(OR(D75="kg",D75="g",D75="l",D75="ml",D75="pza"))),"Revisar: código",IF(NOT(OR(E75="Entrada",E75="Salida",E75="Merma")),"Revisar: tipo",IF(NOT(AND(ISNUMBER(F75),F75&gt;0)),"Revisar: cantidad",IF(AND(E75="Entrada",NOT(AND(ISNUMBER(G75),G75&gt;=0))),"Revisar: costo de compra",IF(AND(E75&lt;&gt;"Entrada",G75&lt;&gt;""),"Revisar: costo solo entrada","OK")))))))</x:f>
      </x:c>
    </x:row>
    <x:row r="76" ht="24" customHeight="1">
      <x:c r="A76" s="3"/>
      <x:c r="B76" s="25"/>
      <x:c r="C76" s="24"/>
      <x:c r="D76" s="3" t="str">
        <x:f>IF(AND(COUNTA(B76:C76)=0,COUNTA(E76:G76)=0,COUNTA(I76:J76)=0),"",IF(COUNTIFS('Inventario'!$B$14:$B$43,C76)=1,INDEX('Inventario'!$D$14:$D$43,MATCH(C76,'Inventario'!$B$14:$B$43,0)),"Revisar código"))</x:f>
      </x:c>
      <x:c r="E76" s="24"/>
      <x:c r="F76" s="41"/>
      <x:c r="G76" s="38"/>
      <x:c r="H76" s="16" t="str">
        <x:f>IF(AND(COUNTA(B76:C76)=0,COUNTA(E76:G76)=0,COUNTA(I76:J76)=0),"",IF(K76&lt;&gt;"OK","Revisar datos",IF(E76="Entrada",F76*G76,0)))</x:f>
      </x:c>
      <x:c r="I76" s="24"/>
      <x:c r="J76" s="24"/>
      <x:c r="K76" s="40" t="str">
        <x:f>IF(AND(COUNTA(B76:C76)=0,COUNTA(E76:G76)=0,COUNTA(I76:J76)=0),"",IF(NOT(AND(ISNUMBER(B76),B76&gt;0,B76=INT(B76))),"Revisar: fecha",IF(OR(COUNTIFS('Inventario'!$B$14:$B$43,C76)&lt;&gt;1,NOT(OR(D76="kg",D76="g",D76="l",D76="ml",D76="pza"))),"Revisar: código",IF(NOT(OR(E76="Entrada",E76="Salida",E76="Merma")),"Revisar: tipo",IF(NOT(AND(ISNUMBER(F76),F76&gt;0)),"Revisar: cantidad",IF(AND(E76="Entrada",NOT(AND(ISNUMBER(G76),G76&gt;=0))),"Revisar: costo de compra",IF(AND(E76&lt;&gt;"Entrada",G76&lt;&gt;""),"Revisar: costo solo entrada","OK")))))))</x:f>
      </x:c>
    </x:row>
    <x:row r="77" ht="24" customHeight="1">
      <x:c r="A77" s="3"/>
      <x:c r="B77" s="25"/>
      <x:c r="C77" s="24"/>
      <x:c r="D77" s="3" t="str">
        <x:f>IF(AND(COUNTA(B77:C77)=0,COUNTA(E77:G77)=0,COUNTA(I77:J77)=0),"",IF(COUNTIFS('Inventario'!$B$14:$B$43,C77)=1,INDEX('Inventario'!$D$14:$D$43,MATCH(C77,'Inventario'!$B$14:$B$43,0)),"Revisar código"))</x:f>
      </x:c>
      <x:c r="E77" s="24"/>
      <x:c r="F77" s="41"/>
      <x:c r="G77" s="38"/>
      <x:c r="H77" s="16" t="str">
        <x:f>IF(AND(COUNTA(B77:C77)=0,COUNTA(E77:G77)=0,COUNTA(I77:J77)=0),"",IF(K77&lt;&gt;"OK","Revisar datos",IF(E77="Entrada",F77*G77,0)))</x:f>
      </x:c>
      <x:c r="I77" s="24"/>
      <x:c r="J77" s="24"/>
      <x:c r="K77" s="40" t="str">
        <x:f>IF(AND(COUNTA(B77:C77)=0,COUNTA(E77:G77)=0,COUNTA(I77:J77)=0),"",IF(NOT(AND(ISNUMBER(B77),B77&gt;0,B77=INT(B77))),"Revisar: fecha",IF(OR(COUNTIFS('Inventario'!$B$14:$B$43,C77)&lt;&gt;1,NOT(OR(D77="kg",D77="g",D77="l",D77="ml",D77="pza"))),"Revisar: código",IF(NOT(OR(E77="Entrada",E77="Salida",E77="Merma")),"Revisar: tipo",IF(NOT(AND(ISNUMBER(F77),F77&gt;0)),"Revisar: cantidad",IF(AND(E77="Entrada",NOT(AND(ISNUMBER(G77),G77&gt;=0))),"Revisar: costo de compra",IF(AND(E77&lt;&gt;"Entrada",G77&lt;&gt;""),"Revisar: costo solo entrada","OK")))))))</x:f>
      </x:c>
    </x:row>
    <x:row r="78" ht="24" customHeight="1">
      <x:c r="A78" s="3"/>
      <x:c r="B78" s="25"/>
      <x:c r="C78" s="24"/>
      <x:c r="D78" s="3" t="str">
        <x:f>IF(AND(COUNTA(B78:C78)=0,COUNTA(E78:G78)=0,COUNTA(I78:J78)=0),"",IF(COUNTIFS('Inventario'!$B$14:$B$43,C78)=1,INDEX('Inventario'!$D$14:$D$43,MATCH(C78,'Inventario'!$B$14:$B$43,0)),"Revisar código"))</x:f>
      </x:c>
      <x:c r="E78" s="24"/>
      <x:c r="F78" s="41"/>
      <x:c r="G78" s="38"/>
      <x:c r="H78" s="16" t="str">
        <x:f>IF(AND(COUNTA(B78:C78)=0,COUNTA(E78:G78)=0,COUNTA(I78:J78)=0),"",IF(K78&lt;&gt;"OK","Revisar datos",IF(E78="Entrada",F78*G78,0)))</x:f>
      </x:c>
      <x:c r="I78" s="24"/>
      <x:c r="J78" s="24"/>
      <x:c r="K78" s="40" t="str">
        <x:f>IF(AND(COUNTA(B78:C78)=0,COUNTA(E78:G78)=0,COUNTA(I78:J78)=0),"",IF(NOT(AND(ISNUMBER(B78),B78&gt;0,B78=INT(B78))),"Revisar: fecha",IF(OR(COUNTIFS('Inventario'!$B$14:$B$43,C78)&lt;&gt;1,NOT(OR(D78="kg",D78="g",D78="l",D78="ml",D78="pza"))),"Revisar: código",IF(NOT(OR(E78="Entrada",E78="Salida",E78="Merma")),"Revisar: tipo",IF(NOT(AND(ISNUMBER(F78),F78&gt;0)),"Revisar: cantidad",IF(AND(E78="Entrada",NOT(AND(ISNUMBER(G78),G78&gt;=0))),"Revisar: costo de compra",IF(AND(E78&lt;&gt;"Entrada",G78&lt;&gt;""),"Revisar: costo solo entrada","OK")))))))</x:f>
      </x:c>
    </x:row>
    <x:row r="79" ht="24" customHeight="1">
      <x:c r="A79" s="3"/>
      <x:c r="B79" s="25"/>
      <x:c r="C79" s="24"/>
      <x:c r="D79" s="3" t="str">
        <x:f>IF(AND(COUNTA(B79:C79)=0,COUNTA(E79:G79)=0,COUNTA(I79:J79)=0),"",IF(COUNTIFS('Inventario'!$B$14:$B$43,C79)=1,INDEX('Inventario'!$D$14:$D$43,MATCH(C79,'Inventario'!$B$14:$B$43,0)),"Revisar código"))</x:f>
      </x:c>
      <x:c r="E79" s="24"/>
      <x:c r="F79" s="41"/>
      <x:c r="G79" s="38"/>
      <x:c r="H79" s="16" t="str">
        <x:f>IF(AND(COUNTA(B79:C79)=0,COUNTA(E79:G79)=0,COUNTA(I79:J79)=0),"",IF(K79&lt;&gt;"OK","Revisar datos",IF(E79="Entrada",F79*G79,0)))</x:f>
      </x:c>
      <x:c r="I79" s="24"/>
      <x:c r="J79" s="24"/>
      <x:c r="K79" s="40" t="str">
        <x:f>IF(AND(COUNTA(B79:C79)=0,COUNTA(E79:G79)=0,COUNTA(I79:J79)=0),"",IF(NOT(AND(ISNUMBER(B79),B79&gt;0,B79=INT(B79))),"Revisar: fecha",IF(OR(COUNTIFS('Inventario'!$B$14:$B$43,C79)&lt;&gt;1,NOT(OR(D79="kg",D79="g",D79="l",D79="ml",D79="pza"))),"Revisar: código",IF(NOT(OR(E79="Entrada",E79="Salida",E79="Merma")),"Revisar: tipo",IF(NOT(AND(ISNUMBER(F79),F79&gt;0)),"Revisar: cantidad",IF(AND(E79="Entrada",NOT(AND(ISNUMBER(G79),G79&gt;=0))),"Revisar: costo de compra",IF(AND(E79&lt;&gt;"Entrada",G79&lt;&gt;""),"Revisar: costo solo entrada","OK")))))))</x:f>
      </x:c>
    </x:row>
    <x:row r="80" ht="24" customHeight="1">
      <x:c r="A80" s="3"/>
      <x:c r="B80" s="25"/>
      <x:c r="C80" s="24"/>
      <x:c r="D80" s="3" t="str">
        <x:f>IF(AND(COUNTA(B80:C80)=0,COUNTA(E80:G80)=0,COUNTA(I80:J80)=0),"",IF(COUNTIFS('Inventario'!$B$14:$B$43,C80)=1,INDEX('Inventario'!$D$14:$D$43,MATCH(C80,'Inventario'!$B$14:$B$43,0)),"Revisar código"))</x:f>
      </x:c>
      <x:c r="E80" s="24"/>
      <x:c r="F80" s="41"/>
      <x:c r="G80" s="38"/>
      <x:c r="H80" s="16" t="str">
        <x:f>IF(AND(COUNTA(B80:C80)=0,COUNTA(E80:G80)=0,COUNTA(I80:J80)=0),"",IF(K80&lt;&gt;"OK","Revisar datos",IF(E80="Entrada",F80*G80,0)))</x:f>
      </x:c>
      <x:c r="I80" s="24"/>
      <x:c r="J80" s="24"/>
      <x:c r="K80" s="40" t="str">
        <x:f>IF(AND(COUNTA(B80:C80)=0,COUNTA(E80:G80)=0,COUNTA(I80:J80)=0),"",IF(NOT(AND(ISNUMBER(B80),B80&gt;0,B80=INT(B80))),"Revisar: fecha",IF(OR(COUNTIFS('Inventario'!$B$14:$B$43,C80)&lt;&gt;1,NOT(OR(D80="kg",D80="g",D80="l",D80="ml",D80="pza"))),"Revisar: código",IF(NOT(OR(E80="Entrada",E80="Salida",E80="Merma")),"Revisar: tipo",IF(NOT(AND(ISNUMBER(F80),F80&gt;0)),"Revisar: cantidad",IF(AND(E80="Entrada",NOT(AND(ISNUMBER(G80),G80&gt;=0))),"Revisar: costo de compra",IF(AND(E80&lt;&gt;"Entrada",G80&lt;&gt;""),"Revisar: costo solo entrada","OK")))))))</x:f>
      </x:c>
    </x:row>
    <x:row r="81" ht="24" customHeight="1">
      <x:c r="A81" s="3"/>
      <x:c r="B81" s="25"/>
      <x:c r="C81" s="24"/>
      <x:c r="D81" s="3" t="str">
        <x:f>IF(AND(COUNTA(B81:C81)=0,COUNTA(E81:G81)=0,COUNTA(I81:J81)=0),"",IF(COUNTIFS('Inventario'!$B$14:$B$43,C81)=1,INDEX('Inventario'!$D$14:$D$43,MATCH(C81,'Inventario'!$B$14:$B$43,0)),"Revisar código"))</x:f>
      </x:c>
      <x:c r="E81" s="24"/>
      <x:c r="F81" s="41"/>
      <x:c r="G81" s="38"/>
      <x:c r="H81" s="16" t="str">
        <x:f>IF(AND(COUNTA(B81:C81)=0,COUNTA(E81:G81)=0,COUNTA(I81:J81)=0),"",IF(K81&lt;&gt;"OK","Revisar datos",IF(E81="Entrada",F81*G81,0)))</x:f>
      </x:c>
      <x:c r="I81" s="24"/>
      <x:c r="J81" s="24"/>
      <x:c r="K81" s="40" t="str">
        <x:f>IF(AND(COUNTA(B81:C81)=0,COUNTA(E81:G81)=0,COUNTA(I81:J81)=0),"",IF(NOT(AND(ISNUMBER(B81),B81&gt;0,B81=INT(B81))),"Revisar: fecha",IF(OR(COUNTIFS('Inventario'!$B$14:$B$43,C81)&lt;&gt;1,NOT(OR(D81="kg",D81="g",D81="l",D81="ml",D81="pza"))),"Revisar: código",IF(NOT(OR(E81="Entrada",E81="Salida",E81="Merma")),"Revisar: tipo",IF(NOT(AND(ISNUMBER(F81),F81&gt;0)),"Revisar: cantidad",IF(AND(E81="Entrada",NOT(AND(ISNUMBER(G81),G81&gt;=0))),"Revisar: costo de compra",IF(AND(E81&lt;&gt;"Entrada",G81&lt;&gt;""),"Revisar: costo solo entrada","OK")))))))</x:f>
      </x:c>
    </x:row>
    <x:row r="82" ht="24" customHeight="1">
      <x:c r="A82" s="3"/>
      <x:c r="B82" s="25"/>
      <x:c r="C82" s="24"/>
      <x:c r="D82" s="3" t="str">
        <x:f>IF(AND(COUNTA(B82:C82)=0,COUNTA(E82:G82)=0,COUNTA(I82:J82)=0),"",IF(COUNTIFS('Inventario'!$B$14:$B$43,C82)=1,INDEX('Inventario'!$D$14:$D$43,MATCH(C82,'Inventario'!$B$14:$B$43,0)),"Revisar código"))</x:f>
      </x:c>
      <x:c r="E82" s="24"/>
      <x:c r="F82" s="41"/>
      <x:c r="G82" s="38"/>
      <x:c r="H82" s="16" t="str">
        <x:f>IF(AND(COUNTA(B82:C82)=0,COUNTA(E82:G82)=0,COUNTA(I82:J82)=0),"",IF(K82&lt;&gt;"OK","Revisar datos",IF(E82="Entrada",F82*G82,0)))</x:f>
      </x:c>
      <x:c r="I82" s="24"/>
      <x:c r="J82" s="24"/>
      <x:c r="K82" s="40" t="str">
        <x:f>IF(AND(COUNTA(B82:C82)=0,COUNTA(E82:G82)=0,COUNTA(I82:J82)=0),"",IF(NOT(AND(ISNUMBER(B82),B82&gt;0,B82=INT(B82))),"Revisar: fecha",IF(OR(COUNTIFS('Inventario'!$B$14:$B$43,C82)&lt;&gt;1,NOT(OR(D82="kg",D82="g",D82="l",D82="ml",D82="pza"))),"Revisar: código",IF(NOT(OR(E82="Entrada",E82="Salida",E82="Merma")),"Revisar: tipo",IF(NOT(AND(ISNUMBER(F82),F82&gt;0)),"Revisar: cantidad",IF(AND(E82="Entrada",NOT(AND(ISNUMBER(G82),G82&gt;=0))),"Revisar: costo de compra",IF(AND(E82&lt;&gt;"Entrada",G82&lt;&gt;""),"Revisar: costo solo entrada","OK")))))))</x:f>
      </x:c>
    </x:row>
    <x:row r="83" ht="24" customHeight="1">
      <x:c r="A83" s="3"/>
      <x:c r="B83" s="25"/>
      <x:c r="C83" s="24"/>
      <x:c r="D83" s="3" t="str">
        <x:f>IF(AND(COUNTA(B83:C83)=0,COUNTA(E83:G83)=0,COUNTA(I83:J83)=0),"",IF(COUNTIFS('Inventario'!$B$14:$B$43,C83)=1,INDEX('Inventario'!$D$14:$D$43,MATCH(C83,'Inventario'!$B$14:$B$43,0)),"Revisar código"))</x:f>
      </x:c>
      <x:c r="E83" s="24"/>
      <x:c r="F83" s="41"/>
      <x:c r="G83" s="38"/>
      <x:c r="H83" s="16" t="str">
        <x:f>IF(AND(COUNTA(B83:C83)=0,COUNTA(E83:G83)=0,COUNTA(I83:J83)=0),"",IF(K83&lt;&gt;"OK","Revisar datos",IF(E83="Entrada",F83*G83,0)))</x:f>
      </x:c>
      <x:c r="I83" s="24"/>
      <x:c r="J83" s="24"/>
      <x:c r="K83" s="40" t="str">
        <x:f>IF(AND(COUNTA(B83:C83)=0,COUNTA(E83:G83)=0,COUNTA(I83:J83)=0),"",IF(NOT(AND(ISNUMBER(B83),B83&gt;0,B83=INT(B83))),"Revisar: fecha",IF(OR(COUNTIFS('Inventario'!$B$14:$B$43,C83)&lt;&gt;1,NOT(OR(D83="kg",D83="g",D83="l",D83="ml",D83="pza"))),"Revisar: código",IF(NOT(OR(E83="Entrada",E83="Salida",E83="Merma")),"Revisar: tipo",IF(NOT(AND(ISNUMBER(F83),F83&gt;0)),"Revisar: cantidad",IF(AND(E83="Entrada",NOT(AND(ISNUMBER(G83),G83&gt;=0))),"Revisar: costo de compra",IF(AND(E83&lt;&gt;"Entrada",G83&lt;&gt;""),"Revisar: costo solo entrada","OK")))))))</x:f>
      </x:c>
    </x:row>
    <x:row r="84" ht="24" customHeight="1">
      <x:c r="A84" s="3"/>
      <x:c r="B84" s="25"/>
      <x:c r="C84" s="24"/>
      <x:c r="D84" s="3" t="str">
        <x:f>IF(AND(COUNTA(B84:C84)=0,COUNTA(E84:G84)=0,COUNTA(I84:J84)=0),"",IF(COUNTIFS('Inventario'!$B$14:$B$43,C84)=1,INDEX('Inventario'!$D$14:$D$43,MATCH(C84,'Inventario'!$B$14:$B$43,0)),"Revisar código"))</x:f>
      </x:c>
      <x:c r="E84" s="24"/>
      <x:c r="F84" s="41"/>
      <x:c r="G84" s="38"/>
      <x:c r="H84" s="16" t="str">
        <x:f>IF(AND(COUNTA(B84:C84)=0,COUNTA(E84:G84)=0,COUNTA(I84:J84)=0),"",IF(K84&lt;&gt;"OK","Revisar datos",IF(E84="Entrada",F84*G84,0)))</x:f>
      </x:c>
      <x:c r="I84" s="24"/>
      <x:c r="J84" s="24"/>
      <x:c r="K84" s="40" t="str">
        <x:f>IF(AND(COUNTA(B84:C84)=0,COUNTA(E84:G84)=0,COUNTA(I84:J84)=0),"",IF(NOT(AND(ISNUMBER(B84),B84&gt;0,B84=INT(B84))),"Revisar: fecha",IF(OR(COUNTIFS('Inventario'!$B$14:$B$43,C84)&lt;&gt;1,NOT(OR(D84="kg",D84="g",D84="l",D84="ml",D84="pza"))),"Revisar: código",IF(NOT(OR(E84="Entrada",E84="Salida",E84="Merma")),"Revisar: tipo",IF(NOT(AND(ISNUMBER(F84),F84&gt;0)),"Revisar: cantidad",IF(AND(E84="Entrada",NOT(AND(ISNUMBER(G84),G84&gt;=0))),"Revisar: costo de compra",IF(AND(E84&lt;&gt;"Entrada",G84&lt;&gt;""),"Revisar: costo solo entrada","OK")))))))</x:f>
      </x:c>
    </x:row>
    <x:row r="85" ht="24" customHeight="1">
      <x:c r="A85" s="3"/>
      <x:c r="B85" s="25"/>
      <x:c r="C85" s="24"/>
      <x:c r="D85" s="3" t="str">
        <x:f>IF(AND(COUNTA(B85:C85)=0,COUNTA(E85:G85)=0,COUNTA(I85:J85)=0),"",IF(COUNTIFS('Inventario'!$B$14:$B$43,C85)=1,INDEX('Inventario'!$D$14:$D$43,MATCH(C85,'Inventario'!$B$14:$B$43,0)),"Revisar código"))</x:f>
      </x:c>
      <x:c r="E85" s="24"/>
      <x:c r="F85" s="41"/>
      <x:c r="G85" s="38"/>
      <x:c r="H85" s="16" t="str">
        <x:f>IF(AND(COUNTA(B85:C85)=0,COUNTA(E85:G85)=0,COUNTA(I85:J85)=0),"",IF(K85&lt;&gt;"OK","Revisar datos",IF(E85="Entrada",F85*G85,0)))</x:f>
      </x:c>
      <x:c r="I85" s="24"/>
      <x:c r="J85" s="24"/>
      <x:c r="K85" s="40" t="str">
        <x:f>IF(AND(COUNTA(B85:C85)=0,COUNTA(E85:G85)=0,COUNTA(I85:J85)=0),"",IF(NOT(AND(ISNUMBER(B85),B85&gt;0,B85=INT(B85))),"Revisar: fecha",IF(OR(COUNTIFS('Inventario'!$B$14:$B$43,C85)&lt;&gt;1,NOT(OR(D85="kg",D85="g",D85="l",D85="ml",D85="pza"))),"Revisar: código",IF(NOT(OR(E85="Entrada",E85="Salida",E85="Merma")),"Revisar: tipo",IF(NOT(AND(ISNUMBER(F85),F85&gt;0)),"Revisar: cantidad",IF(AND(E85="Entrada",NOT(AND(ISNUMBER(G85),G85&gt;=0))),"Revisar: costo de compra",IF(AND(E85&lt;&gt;"Entrada",G85&lt;&gt;""),"Revisar: costo solo entrada","OK")))))))</x:f>
      </x:c>
    </x:row>
    <x:row r="86" ht="24" customHeight="1">
      <x:c r="A86" s="3"/>
      <x:c r="B86" s="25"/>
      <x:c r="C86" s="24"/>
      <x:c r="D86" s="3" t="str">
        <x:f>IF(AND(COUNTA(B86:C86)=0,COUNTA(E86:G86)=0,COUNTA(I86:J86)=0),"",IF(COUNTIFS('Inventario'!$B$14:$B$43,C86)=1,INDEX('Inventario'!$D$14:$D$43,MATCH(C86,'Inventario'!$B$14:$B$43,0)),"Revisar código"))</x:f>
      </x:c>
      <x:c r="E86" s="24"/>
      <x:c r="F86" s="41"/>
      <x:c r="G86" s="38"/>
      <x:c r="H86" s="16" t="str">
        <x:f>IF(AND(COUNTA(B86:C86)=0,COUNTA(E86:G86)=0,COUNTA(I86:J86)=0),"",IF(K86&lt;&gt;"OK","Revisar datos",IF(E86="Entrada",F86*G86,0)))</x:f>
      </x:c>
      <x:c r="I86" s="24"/>
      <x:c r="J86" s="24"/>
      <x:c r="K86" s="40" t="str">
        <x:f>IF(AND(COUNTA(B86:C86)=0,COUNTA(E86:G86)=0,COUNTA(I86:J86)=0),"",IF(NOT(AND(ISNUMBER(B86),B86&gt;0,B86=INT(B86))),"Revisar: fecha",IF(OR(COUNTIFS('Inventario'!$B$14:$B$43,C86)&lt;&gt;1,NOT(OR(D86="kg",D86="g",D86="l",D86="ml",D86="pza"))),"Revisar: código",IF(NOT(OR(E86="Entrada",E86="Salida",E86="Merma")),"Revisar: tipo",IF(NOT(AND(ISNUMBER(F86),F86&gt;0)),"Revisar: cantidad",IF(AND(E86="Entrada",NOT(AND(ISNUMBER(G86),G86&gt;=0))),"Revisar: costo de compra",IF(AND(E86&lt;&gt;"Entrada",G86&lt;&gt;""),"Revisar: costo solo entrada","OK")))))))</x:f>
      </x:c>
    </x:row>
    <x:row r="87" ht="24" customHeight="1">
      <x:c r="A87" s="3"/>
      <x:c r="B87" s="25"/>
      <x:c r="C87" s="24"/>
      <x:c r="D87" s="3" t="str">
        <x:f>IF(AND(COUNTA(B87:C87)=0,COUNTA(E87:G87)=0,COUNTA(I87:J87)=0),"",IF(COUNTIFS('Inventario'!$B$14:$B$43,C87)=1,INDEX('Inventario'!$D$14:$D$43,MATCH(C87,'Inventario'!$B$14:$B$43,0)),"Revisar código"))</x:f>
      </x:c>
      <x:c r="E87" s="24"/>
      <x:c r="F87" s="41"/>
      <x:c r="G87" s="38"/>
      <x:c r="H87" s="16" t="str">
        <x:f>IF(AND(COUNTA(B87:C87)=0,COUNTA(E87:G87)=0,COUNTA(I87:J87)=0),"",IF(K87&lt;&gt;"OK","Revisar datos",IF(E87="Entrada",F87*G87,0)))</x:f>
      </x:c>
      <x:c r="I87" s="24"/>
      <x:c r="J87" s="24"/>
      <x:c r="K87" s="40" t="str">
        <x:f>IF(AND(COUNTA(B87:C87)=0,COUNTA(E87:G87)=0,COUNTA(I87:J87)=0),"",IF(NOT(AND(ISNUMBER(B87),B87&gt;0,B87=INT(B87))),"Revisar: fecha",IF(OR(COUNTIFS('Inventario'!$B$14:$B$43,C87)&lt;&gt;1,NOT(OR(D87="kg",D87="g",D87="l",D87="ml",D87="pza"))),"Revisar: código",IF(NOT(OR(E87="Entrada",E87="Salida",E87="Merma")),"Revisar: tipo",IF(NOT(AND(ISNUMBER(F87),F87&gt;0)),"Revisar: cantidad",IF(AND(E87="Entrada",NOT(AND(ISNUMBER(G87),G87&gt;=0))),"Revisar: costo de compra",IF(AND(E87&lt;&gt;"Entrada",G87&lt;&gt;""),"Revisar: costo solo entrada","OK")))))))</x:f>
      </x:c>
    </x:row>
    <x:row r="88" ht="24" customHeight="1">
      <x:c r="A88" s="3"/>
      <x:c r="B88" s="25"/>
      <x:c r="C88" s="24"/>
      <x:c r="D88" s="3" t="str">
        <x:f>IF(AND(COUNTA(B88:C88)=0,COUNTA(E88:G88)=0,COUNTA(I88:J88)=0),"",IF(COUNTIFS('Inventario'!$B$14:$B$43,C88)=1,INDEX('Inventario'!$D$14:$D$43,MATCH(C88,'Inventario'!$B$14:$B$43,0)),"Revisar código"))</x:f>
      </x:c>
      <x:c r="E88" s="24"/>
      <x:c r="F88" s="41"/>
      <x:c r="G88" s="38"/>
      <x:c r="H88" s="16" t="str">
        <x:f>IF(AND(COUNTA(B88:C88)=0,COUNTA(E88:G88)=0,COUNTA(I88:J88)=0),"",IF(K88&lt;&gt;"OK","Revisar datos",IF(E88="Entrada",F88*G88,0)))</x:f>
      </x:c>
      <x:c r="I88" s="24"/>
      <x:c r="J88" s="24"/>
      <x:c r="K88" s="40" t="str">
        <x:f>IF(AND(COUNTA(B88:C88)=0,COUNTA(E88:G88)=0,COUNTA(I88:J88)=0),"",IF(NOT(AND(ISNUMBER(B88),B88&gt;0,B88=INT(B88))),"Revisar: fecha",IF(OR(COUNTIFS('Inventario'!$B$14:$B$43,C88)&lt;&gt;1,NOT(OR(D88="kg",D88="g",D88="l",D88="ml",D88="pza"))),"Revisar: código",IF(NOT(OR(E88="Entrada",E88="Salida",E88="Merma")),"Revisar: tipo",IF(NOT(AND(ISNUMBER(F88),F88&gt;0)),"Revisar: cantidad",IF(AND(E88="Entrada",NOT(AND(ISNUMBER(G88),G88&gt;=0))),"Revisar: costo de compra",IF(AND(E88&lt;&gt;"Entrada",G88&lt;&gt;""),"Revisar: costo solo entrada","OK")))))))</x:f>
      </x:c>
    </x:row>
    <x:row r="89" ht="24" customHeight="1">
      <x:c r="A89" s="3"/>
      <x:c r="B89" s="25"/>
      <x:c r="C89" s="24"/>
      <x:c r="D89" s="3" t="str">
        <x:f>IF(AND(COUNTA(B89:C89)=0,COUNTA(E89:G89)=0,COUNTA(I89:J89)=0),"",IF(COUNTIFS('Inventario'!$B$14:$B$43,C89)=1,INDEX('Inventario'!$D$14:$D$43,MATCH(C89,'Inventario'!$B$14:$B$43,0)),"Revisar código"))</x:f>
      </x:c>
      <x:c r="E89" s="24"/>
      <x:c r="F89" s="41"/>
      <x:c r="G89" s="38"/>
      <x:c r="H89" s="16" t="str">
        <x:f>IF(AND(COUNTA(B89:C89)=0,COUNTA(E89:G89)=0,COUNTA(I89:J89)=0),"",IF(K89&lt;&gt;"OK","Revisar datos",IF(E89="Entrada",F89*G89,0)))</x:f>
      </x:c>
      <x:c r="I89" s="24"/>
      <x:c r="J89" s="24"/>
      <x:c r="K89" s="40" t="str">
        <x:f>IF(AND(COUNTA(B89:C89)=0,COUNTA(E89:G89)=0,COUNTA(I89:J89)=0),"",IF(NOT(AND(ISNUMBER(B89),B89&gt;0,B89=INT(B89))),"Revisar: fecha",IF(OR(COUNTIFS('Inventario'!$B$14:$B$43,C89)&lt;&gt;1,NOT(OR(D89="kg",D89="g",D89="l",D89="ml",D89="pza"))),"Revisar: código",IF(NOT(OR(E89="Entrada",E89="Salida",E89="Merma")),"Revisar: tipo",IF(NOT(AND(ISNUMBER(F89),F89&gt;0)),"Revisar: cantidad",IF(AND(E89="Entrada",NOT(AND(ISNUMBER(G89),G89&gt;=0))),"Revisar: costo de compra",IF(AND(E89&lt;&gt;"Entrada",G89&lt;&gt;""),"Revisar: costo solo entrada","OK")))))))</x:f>
      </x:c>
    </x:row>
    <x:row r="90" ht="24" customHeight="1">
      <x:c r="A90" s="3"/>
      <x:c r="B90" s="25"/>
      <x:c r="C90" s="24"/>
      <x:c r="D90" s="3" t="str">
        <x:f>IF(AND(COUNTA(B90:C90)=0,COUNTA(E90:G90)=0,COUNTA(I90:J90)=0),"",IF(COUNTIFS('Inventario'!$B$14:$B$43,C90)=1,INDEX('Inventario'!$D$14:$D$43,MATCH(C90,'Inventario'!$B$14:$B$43,0)),"Revisar código"))</x:f>
      </x:c>
      <x:c r="E90" s="24"/>
      <x:c r="F90" s="41"/>
      <x:c r="G90" s="38"/>
      <x:c r="H90" s="16" t="str">
        <x:f>IF(AND(COUNTA(B90:C90)=0,COUNTA(E90:G90)=0,COUNTA(I90:J90)=0),"",IF(K90&lt;&gt;"OK","Revisar datos",IF(E90="Entrada",F90*G90,0)))</x:f>
      </x:c>
      <x:c r="I90" s="24"/>
      <x:c r="J90" s="24"/>
      <x:c r="K90" s="40" t="str">
        <x:f>IF(AND(COUNTA(B90:C90)=0,COUNTA(E90:G90)=0,COUNTA(I90:J90)=0),"",IF(NOT(AND(ISNUMBER(B90),B90&gt;0,B90=INT(B90))),"Revisar: fecha",IF(OR(COUNTIFS('Inventario'!$B$14:$B$43,C90)&lt;&gt;1,NOT(OR(D90="kg",D90="g",D90="l",D90="ml",D90="pza"))),"Revisar: código",IF(NOT(OR(E90="Entrada",E90="Salida",E90="Merma")),"Revisar: tipo",IF(NOT(AND(ISNUMBER(F90),F90&gt;0)),"Revisar: cantidad",IF(AND(E90="Entrada",NOT(AND(ISNUMBER(G90),G90&gt;=0))),"Revisar: costo de compra",IF(AND(E90&lt;&gt;"Entrada",G90&lt;&gt;""),"Revisar: costo solo entrada","OK")))))))</x:f>
      </x:c>
    </x:row>
    <x:row r="91" ht="24" customHeight="1">
      <x:c r="A91" s="3"/>
      <x:c r="B91" s="25"/>
      <x:c r="C91" s="24"/>
      <x:c r="D91" s="3" t="str">
        <x:f>IF(AND(COUNTA(B91:C91)=0,COUNTA(E91:G91)=0,COUNTA(I91:J91)=0),"",IF(COUNTIFS('Inventario'!$B$14:$B$43,C91)=1,INDEX('Inventario'!$D$14:$D$43,MATCH(C91,'Inventario'!$B$14:$B$43,0)),"Revisar código"))</x:f>
      </x:c>
      <x:c r="E91" s="24"/>
      <x:c r="F91" s="41"/>
      <x:c r="G91" s="38"/>
      <x:c r="H91" s="16" t="str">
        <x:f>IF(AND(COUNTA(B91:C91)=0,COUNTA(E91:G91)=0,COUNTA(I91:J91)=0),"",IF(K91&lt;&gt;"OK","Revisar datos",IF(E91="Entrada",F91*G91,0)))</x:f>
      </x:c>
      <x:c r="I91" s="24"/>
      <x:c r="J91" s="24"/>
      <x:c r="K91" s="40" t="str">
        <x:f>IF(AND(COUNTA(B91:C91)=0,COUNTA(E91:G91)=0,COUNTA(I91:J91)=0),"",IF(NOT(AND(ISNUMBER(B91),B91&gt;0,B91=INT(B91))),"Revisar: fecha",IF(OR(COUNTIFS('Inventario'!$B$14:$B$43,C91)&lt;&gt;1,NOT(OR(D91="kg",D91="g",D91="l",D91="ml",D91="pza"))),"Revisar: código",IF(NOT(OR(E91="Entrada",E91="Salida",E91="Merma")),"Revisar: tipo",IF(NOT(AND(ISNUMBER(F91),F91&gt;0)),"Revisar: cantidad",IF(AND(E91="Entrada",NOT(AND(ISNUMBER(G91),G91&gt;=0))),"Revisar: costo de compra",IF(AND(E91&lt;&gt;"Entrada",G91&lt;&gt;""),"Revisar: costo solo entrada","OK")))))))</x:f>
      </x:c>
    </x:row>
    <x:row r="92" ht="24" customHeight="1">
      <x:c r="A92" s="3"/>
      <x:c r="B92" s="25"/>
      <x:c r="C92" s="24"/>
      <x:c r="D92" s="3" t="str">
        <x:f>IF(AND(COUNTA(B92:C92)=0,COUNTA(E92:G92)=0,COUNTA(I92:J92)=0),"",IF(COUNTIFS('Inventario'!$B$14:$B$43,C92)=1,INDEX('Inventario'!$D$14:$D$43,MATCH(C92,'Inventario'!$B$14:$B$43,0)),"Revisar código"))</x:f>
      </x:c>
      <x:c r="E92" s="24"/>
      <x:c r="F92" s="41"/>
      <x:c r="G92" s="38"/>
      <x:c r="H92" s="16" t="str">
        <x:f>IF(AND(COUNTA(B92:C92)=0,COUNTA(E92:G92)=0,COUNTA(I92:J92)=0),"",IF(K92&lt;&gt;"OK","Revisar datos",IF(E92="Entrada",F92*G92,0)))</x:f>
      </x:c>
      <x:c r="I92" s="24"/>
      <x:c r="J92" s="24"/>
      <x:c r="K92" s="40" t="str">
        <x:f>IF(AND(COUNTA(B92:C92)=0,COUNTA(E92:G92)=0,COUNTA(I92:J92)=0),"",IF(NOT(AND(ISNUMBER(B92),B92&gt;0,B92=INT(B92))),"Revisar: fecha",IF(OR(COUNTIFS('Inventario'!$B$14:$B$43,C92)&lt;&gt;1,NOT(OR(D92="kg",D92="g",D92="l",D92="ml",D92="pza"))),"Revisar: código",IF(NOT(OR(E92="Entrada",E92="Salida",E92="Merma")),"Revisar: tipo",IF(NOT(AND(ISNUMBER(F92),F92&gt;0)),"Revisar: cantidad",IF(AND(E92="Entrada",NOT(AND(ISNUMBER(G92),G92&gt;=0))),"Revisar: costo de compra",IF(AND(E92&lt;&gt;"Entrada",G92&lt;&gt;""),"Revisar: costo solo entrada","OK")))))))</x:f>
      </x:c>
    </x:row>
    <x:row r="93" ht="24" customHeight="1">
      <x:c r="A93" s="3"/>
      <x:c r="B93" s="25"/>
      <x:c r="C93" s="24"/>
      <x:c r="D93" s="3" t="str">
        <x:f>IF(AND(COUNTA(B93:C93)=0,COUNTA(E93:G93)=0,COUNTA(I93:J93)=0),"",IF(COUNTIFS('Inventario'!$B$14:$B$43,C93)=1,INDEX('Inventario'!$D$14:$D$43,MATCH(C93,'Inventario'!$B$14:$B$43,0)),"Revisar código"))</x:f>
      </x:c>
      <x:c r="E93" s="24"/>
      <x:c r="F93" s="41"/>
      <x:c r="G93" s="38"/>
      <x:c r="H93" s="16" t="str">
        <x:f>IF(AND(COUNTA(B93:C93)=0,COUNTA(E93:G93)=0,COUNTA(I93:J93)=0),"",IF(K93&lt;&gt;"OK","Revisar datos",IF(E93="Entrada",F93*G93,0)))</x:f>
      </x:c>
      <x:c r="I93" s="24"/>
      <x:c r="J93" s="24"/>
      <x:c r="K93" s="40" t="str">
        <x:f>IF(AND(COUNTA(B93:C93)=0,COUNTA(E93:G93)=0,COUNTA(I93:J93)=0),"",IF(NOT(AND(ISNUMBER(B93),B93&gt;0,B93=INT(B93))),"Revisar: fecha",IF(OR(COUNTIFS('Inventario'!$B$14:$B$43,C93)&lt;&gt;1,NOT(OR(D93="kg",D93="g",D93="l",D93="ml",D93="pza"))),"Revisar: código",IF(NOT(OR(E93="Entrada",E93="Salida",E93="Merma")),"Revisar: tipo",IF(NOT(AND(ISNUMBER(F93),F93&gt;0)),"Revisar: cantidad",IF(AND(E93="Entrada",NOT(AND(ISNUMBER(G93),G93&gt;=0))),"Revisar: costo de compra",IF(AND(E93&lt;&gt;"Entrada",G93&lt;&gt;""),"Revisar: costo solo entrada","OK")))))))</x:f>
      </x:c>
    </x:row>
    <x:row r="94" ht="24" customHeight="1">
      <x:c r="A94" s="3"/>
      <x:c r="B94" s="25"/>
      <x:c r="C94" s="24"/>
      <x:c r="D94" s="3" t="str">
        <x:f>IF(AND(COUNTA(B94:C94)=0,COUNTA(E94:G94)=0,COUNTA(I94:J94)=0),"",IF(COUNTIFS('Inventario'!$B$14:$B$43,C94)=1,INDEX('Inventario'!$D$14:$D$43,MATCH(C94,'Inventario'!$B$14:$B$43,0)),"Revisar código"))</x:f>
      </x:c>
      <x:c r="E94" s="24"/>
      <x:c r="F94" s="41"/>
      <x:c r="G94" s="38"/>
      <x:c r="H94" s="16" t="str">
        <x:f>IF(AND(COUNTA(B94:C94)=0,COUNTA(E94:G94)=0,COUNTA(I94:J94)=0),"",IF(K94&lt;&gt;"OK","Revisar datos",IF(E94="Entrada",F94*G94,0)))</x:f>
      </x:c>
      <x:c r="I94" s="24"/>
      <x:c r="J94" s="24"/>
      <x:c r="K94" s="40" t="str">
        <x:f>IF(AND(COUNTA(B94:C94)=0,COUNTA(E94:G94)=0,COUNTA(I94:J94)=0),"",IF(NOT(AND(ISNUMBER(B94),B94&gt;0,B94=INT(B94))),"Revisar: fecha",IF(OR(COUNTIFS('Inventario'!$B$14:$B$43,C94)&lt;&gt;1,NOT(OR(D94="kg",D94="g",D94="l",D94="ml",D94="pza"))),"Revisar: código",IF(NOT(OR(E94="Entrada",E94="Salida",E94="Merma")),"Revisar: tipo",IF(NOT(AND(ISNUMBER(F94),F94&gt;0)),"Revisar: cantidad",IF(AND(E94="Entrada",NOT(AND(ISNUMBER(G94),G94&gt;=0))),"Revisar: costo de compra",IF(AND(E94&lt;&gt;"Entrada",G94&lt;&gt;""),"Revisar: costo solo entrada","OK")))))))</x:f>
      </x:c>
    </x:row>
    <x:row r="95" ht="24" customHeight="1">
      <x:c r="A95" s="3"/>
      <x:c r="B95" s="25"/>
      <x:c r="C95" s="24"/>
      <x:c r="D95" s="3" t="str">
        <x:f>IF(AND(COUNTA(B95:C95)=0,COUNTA(E95:G95)=0,COUNTA(I95:J95)=0),"",IF(COUNTIFS('Inventario'!$B$14:$B$43,C95)=1,INDEX('Inventario'!$D$14:$D$43,MATCH(C95,'Inventario'!$B$14:$B$43,0)),"Revisar código"))</x:f>
      </x:c>
      <x:c r="E95" s="24"/>
      <x:c r="F95" s="41"/>
      <x:c r="G95" s="38"/>
      <x:c r="H95" s="16" t="str">
        <x:f>IF(AND(COUNTA(B95:C95)=0,COUNTA(E95:G95)=0,COUNTA(I95:J95)=0),"",IF(K95&lt;&gt;"OK","Revisar datos",IF(E95="Entrada",F95*G95,0)))</x:f>
      </x:c>
      <x:c r="I95" s="24"/>
      <x:c r="J95" s="24"/>
      <x:c r="K95" s="40" t="str">
        <x:f>IF(AND(COUNTA(B95:C95)=0,COUNTA(E95:G95)=0,COUNTA(I95:J95)=0),"",IF(NOT(AND(ISNUMBER(B95),B95&gt;0,B95=INT(B95))),"Revisar: fecha",IF(OR(COUNTIFS('Inventario'!$B$14:$B$43,C95)&lt;&gt;1,NOT(OR(D95="kg",D95="g",D95="l",D95="ml",D95="pza"))),"Revisar: código",IF(NOT(OR(E95="Entrada",E95="Salida",E95="Merma")),"Revisar: tipo",IF(NOT(AND(ISNUMBER(F95),F95&gt;0)),"Revisar: cantidad",IF(AND(E95="Entrada",NOT(AND(ISNUMBER(G95),G95&gt;=0))),"Revisar: costo de compra",IF(AND(E95&lt;&gt;"Entrada",G95&lt;&gt;""),"Revisar: costo solo entrada","OK")))))))</x:f>
      </x:c>
    </x:row>
    <x:row r="96" ht="24" customHeight="1">
      <x:c r="A96" s="3"/>
      <x:c r="B96" s="25"/>
      <x:c r="C96" s="24"/>
      <x:c r="D96" s="3" t="str">
        <x:f>IF(AND(COUNTA(B96:C96)=0,COUNTA(E96:G96)=0,COUNTA(I96:J96)=0),"",IF(COUNTIFS('Inventario'!$B$14:$B$43,C96)=1,INDEX('Inventario'!$D$14:$D$43,MATCH(C96,'Inventario'!$B$14:$B$43,0)),"Revisar código"))</x:f>
      </x:c>
      <x:c r="E96" s="24"/>
      <x:c r="F96" s="41"/>
      <x:c r="G96" s="38"/>
      <x:c r="H96" s="16" t="str">
        <x:f>IF(AND(COUNTA(B96:C96)=0,COUNTA(E96:G96)=0,COUNTA(I96:J96)=0),"",IF(K96&lt;&gt;"OK","Revisar datos",IF(E96="Entrada",F96*G96,0)))</x:f>
      </x:c>
      <x:c r="I96" s="24"/>
      <x:c r="J96" s="24"/>
      <x:c r="K96" s="40" t="str">
        <x:f>IF(AND(COUNTA(B96:C96)=0,COUNTA(E96:G96)=0,COUNTA(I96:J96)=0),"",IF(NOT(AND(ISNUMBER(B96),B96&gt;0,B96=INT(B96))),"Revisar: fecha",IF(OR(COUNTIFS('Inventario'!$B$14:$B$43,C96)&lt;&gt;1,NOT(OR(D96="kg",D96="g",D96="l",D96="ml",D96="pza"))),"Revisar: código",IF(NOT(OR(E96="Entrada",E96="Salida",E96="Merma")),"Revisar: tipo",IF(NOT(AND(ISNUMBER(F96),F96&gt;0)),"Revisar: cantidad",IF(AND(E96="Entrada",NOT(AND(ISNUMBER(G96),G96&gt;=0))),"Revisar: costo de compra",IF(AND(E96&lt;&gt;"Entrada",G96&lt;&gt;""),"Revisar: costo solo entrada","OK")))))))</x:f>
      </x:c>
    </x:row>
    <x:row r="97" ht="24" customHeight="1">
      <x:c r="A97" s="3"/>
      <x:c r="B97" s="25"/>
      <x:c r="C97" s="24"/>
      <x:c r="D97" s="3" t="str">
        <x:f>IF(AND(COUNTA(B97:C97)=0,COUNTA(E97:G97)=0,COUNTA(I97:J97)=0),"",IF(COUNTIFS('Inventario'!$B$14:$B$43,C97)=1,INDEX('Inventario'!$D$14:$D$43,MATCH(C97,'Inventario'!$B$14:$B$43,0)),"Revisar código"))</x:f>
      </x:c>
      <x:c r="E97" s="24"/>
      <x:c r="F97" s="41"/>
      <x:c r="G97" s="38"/>
      <x:c r="H97" s="16" t="str">
        <x:f>IF(AND(COUNTA(B97:C97)=0,COUNTA(E97:G97)=0,COUNTA(I97:J97)=0),"",IF(K97&lt;&gt;"OK","Revisar datos",IF(E97="Entrada",F97*G97,0)))</x:f>
      </x:c>
      <x:c r="I97" s="24"/>
      <x:c r="J97" s="24"/>
      <x:c r="K97" s="40" t="str">
        <x:f>IF(AND(COUNTA(B97:C97)=0,COUNTA(E97:G97)=0,COUNTA(I97:J97)=0),"",IF(NOT(AND(ISNUMBER(B97),B97&gt;0,B97=INT(B97))),"Revisar: fecha",IF(OR(COUNTIFS('Inventario'!$B$14:$B$43,C97)&lt;&gt;1,NOT(OR(D97="kg",D97="g",D97="l",D97="ml",D97="pza"))),"Revisar: código",IF(NOT(OR(E97="Entrada",E97="Salida",E97="Merma")),"Revisar: tipo",IF(NOT(AND(ISNUMBER(F97),F97&gt;0)),"Revisar: cantidad",IF(AND(E97="Entrada",NOT(AND(ISNUMBER(G97),G97&gt;=0))),"Revisar: costo de compra",IF(AND(E97&lt;&gt;"Entrada",G97&lt;&gt;""),"Revisar: costo solo entrada","OK")))))))</x:f>
      </x:c>
    </x:row>
    <x:row r="98" ht="24" customHeight="1">
      <x:c r="A98" s="3"/>
      <x:c r="B98" s="25"/>
      <x:c r="C98" s="24"/>
      <x:c r="D98" s="3" t="str">
        <x:f>IF(AND(COUNTA(B98:C98)=0,COUNTA(E98:G98)=0,COUNTA(I98:J98)=0),"",IF(COUNTIFS('Inventario'!$B$14:$B$43,C98)=1,INDEX('Inventario'!$D$14:$D$43,MATCH(C98,'Inventario'!$B$14:$B$43,0)),"Revisar código"))</x:f>
      </x:c>
      <x:c r="E98" s="24"/>
      <x:c r="F98" s="41"/>
      <x:c r="G98" s="38"/>
      <x:c r="H98" s="16" t="str">
        <x:f>IF(AND(COUNTA(B98:C98)=0,COUNTA(E98:G98)=0,COUNTA(I98:J98)=0),"",IF(K98&lt;&gt;"OK","Revisar datos",IF(E98="Entrada",F98*G98,0)))</x:f>
      </x:c>
      <x:c r="I98" s="24"/>
      <x:c r="J98" s="24"/>
      <x:c r="K98" s="40" t="str">
        <x:f>IF(AND(COUNTA(B98:C98)=0,COUNTA(E98:G98)=0,COUNTA(I98:J98)=0),"",IF(NOT(AND(ISNUMBER(B98),B98&gt;0,B98=INT(B98))),"Revisar: fecha",IF(OR(COUNTIFS('Inventario'!$B$14:$B$43,C98)&lt;&gt;1,NOT(OR(D98="kg",D98="g",D98="l",D98="ml",D98="pza"))),"Revisar: código",IF(NOT(OR(E98="Entrada",E98="Salida",E98="Merma")),"Revisar: tipo",IF(NOT(AND(ISNUMBER(F98),F98&gt;0)),"Revisar: cantidad",IF(AND(E98="Entrada",NOT(AND(ISNUMBER(G98),G98&gt;=0))),"Revisar: costo de compra",IF(AND(E98&lt;&gt;"Entrada",G98&lt;&gt;""),"Revisar: costo solo entrada","OK")))))))</x:f>
      </x:c>
    </x:row>
    <x:row r="99" ht="24" customHeight="1">
      <x:c r="A99" s="3"/>
      <x:c r="B99" s="25"/>
      <x:c r="C99" s="24"/>
      <x:c r="D99" s="3" t="str">
        <x:f>IF(AND(COUNTA(B99:C99)=0,COUNTA(E99:G99)=0,COUNTA(I99:J99)=0),"",IF(COUNTIFS('Inventario'!$B$14:$B$43,C99)=1,INDEX('Inventario'!$D$14:$D$43,MATCH(C99,'Inventario'!$B$14:$B$43,0)),"Revisar código"))</x:f>
      </x:c>
      <x:c r="E99" s="24"/>
      <x:c r="F99" s="41"/>
      <x:c r="G99" s="38"/>
      <x:c r="H99" s="16" t="str">
        <x:f>IF(AND(COUNTA(B99:C99)=0,COUNTA(E99:G99)=0,COUNTA(I99:J99)=0),"",IF(K99&lt;&gt;"OK","Revisar datos",IF(E99="Entrada",F99*G99,0)))</x:f>
      </x:c>
      <x:c r="I99" s="24"/>
      <x:c r="J99" s="24"/>
      <x:c r="K99" s="40" t="str">
        <x:f>IF(AND(COUNTA(B99:C99)=0,COUNTA(E99:G99)=0,COUNTA(I99:J99)=0),"",IF(NOT(AND(ISNUMBER(B99),B99&gt;0,B99=INT(B99))),"Revisar: fecha",IF(OR(COUNTIFS('Inventario'!$B$14:$B$43,C99)&lt;&gt;1,NOT(OR(D99="kg",D99="g",D99="l",D99="ml",D99="pza"))),"Revisar: código",IF(NOT(OR(E99="Entrada",E99="Salida",E99="Merma")),"Revisar: tipo",IF(NOT(AND(ISNUMBER(F99),F99&gt;0)),"Revisar: cantidad",IF(AND(E99="Entrada",NOT(AND(ISNUMBER(G99),G99&gt;=0))),"Revisar: costo de compra",IF(AND(E99&lt;&gt;"Entrada",G99&lt;&gt;""),"Revisar: costo solo entrada","OK")))))))</x:f>
      </x:c>
    </x:row>
    <x:row r="100" ht="24" customHeight="1">
      <x:c r="A100" s="3"/>
      <x:c r="B100" s="25"/>
      <x:c r="C100" s="24"/>
      <x:c r="D100" s="3" t="str">
        <x:f>IF(AND(COUNTA(B100:C100)=0,COUNTA(E100:G100)=0,COUNTA(I100:J100)=0),"",IF(COUNTIFS('Inventario'!$B$14:$B$43,C100)=1,INDEX('Inventario'!$D$14:$D$43,MATCH(C100,'Inventario'!$B$14:$B$43,0)),"Revisar código"))</x:f>
      </x:c>
      <x:c r="E100" s="24"/>
      <x:c r="F100" s="41"/>
      <x:c r="G100" s="38"/>
      <x:c r="H100" s="16" t="str">
        <x:f>IF(AND(COUNTA(B100:C100)=0,COUNTA(E100:G100)=0,COUNTA(I100:J100)=0),"",IF(K100&lt;&gt;"OK","Revisar datos",IF(E100="Entrada",F100*G100,0)))</x:f>
      </x:c>
      <x:c r="I100" s="24"/>
      <x:c r="J100" s="24"/>
      <x:c r="K100" s="40" t="str">
        <x:f>IF(AND(COUNTA(B100:C100)=0,COUNTA(E100:G100)=0,COUNTA(I100:J100)=0),"",IF(NOT(AND(ISNUMBER(B100),B100&gt;0,B100=INT(B100))),"Revisar: fecha",IF(OR(COUNTIFS('Inventario'!$B$14:$B$43,C100)&lt;&gt;1,NOT(OR(D100="kg",D100="g",D100="l",D100="ml",D100="pza"))),"Revisar: código",IF(NOT(OR(E100="Entrada",E100="Salida",E100="Merma")),"Revisar: tipo",IF(NOT(AND(ISNUMBER(F100),F100&gt;0)),"Revisar: cantidad",IF(AND(E100="Entrada",NOT(AND(ISNUMBER(G100),G100&gt;=0))),"Revisar: costo de compra",IF(AND(E100&lt;&gt;"Entrada",G100&lt;&gt;""),"Revisar: costo solo entrada","OK")))))))</x:f>
      </x:c>
    </x:row>
    <x:row r="101" ht="24" customHeight="1">
      <x:c r="A101" s="3"/>
      <x:c r="B101" s="25"/>
      <x:c r="C101" s="24"/>
      <x:c r="D101" s="3" t="str">
        <x:f>IF(AND(COUNTA(B101:C101)=0,COUNTA(E101:G101)=0,COUNTA(I101:J101)=0),"",IF(COUNTIFS('Inventario'!$B$14:$B$43,C101)=1,INDEX('Inventario'!$D$14:$D$43,MATCH(C101,'Inventario'!$B$14:$B$43,0)),"Revisar código"))</x:f>
      </x:c>
      <x:c r="E101" s="24"/>
      <x:c r="F101" s="41"/>
      <x:c r="G101" s="38"/>
      <x:c r="H101" s="16" t="str">
        <x:f>IF(AND(COUNTA(B101:C101)=0,COUNTA(E101:G101)=0,COUNTA(I101:J101)=0),"",IF(K101&lt;&gt;"OK","Revisar datos",IF(E101="Entrada",F101*G101,0)))</x:f>
      </x:c>
      <x:c r="I101" s="24"/>
      <x:c r="J101" s="24"/>
      <x:c r="K101" s="40" t="str">
        <x:f>IF(AND(COUNTA(B101:C101)=0,COUNTA(E101:G101)=0,COUNTA(I101:J101)=0),"",IF(NOT(AND(ISNUMBER(B101),B101&gt;0,B101=INT(B101))),"Revisar: fecha",IF(OR(COUNTIFS('Inventario'!$B$14:$B$43,C101)&lt;&gt;1,NOT(OR(D101="kg",D101="g",D101="l",D101="ml",D101="pza"))),"Revisar: código",IF(NOT(OR(E101="Entrada",E101="Salida",E101="Merma")),"Revisar: tipo",IF(NOT(AND(ISNUMBER(F101),F101&gt;0)),"Revisar: cantidad",IF(AND(E101="Entrada",NOT(AND(ISNUMBER(G101),G101&gt;=0))),"Revisar: costo de compra",IF(AND(E101&lt;&gt;"Entrada",G101&lt;&gt;""),"Revisar: costo solo entrada","OK")))))))</x:f>
      </x:c>
    </x:row>
    <x:row r="102" ht="24" customHeight="1">
      <x:c r="A102" s="3"/>
      <x:c r="B102" s="25"/>
      <x:c r="C102" s="24"/>
      <x:c r="D102" s="3" t="str">
        <x:f>IF(AND(COUNTA(B102:C102)=0,COUNTA(E102:G102)=0,COUNTA(I102:J102)=0),"",IF(COUNTIFS('Inventario'!$B$14:$B$43,C102)=1,INDEX('Inventario'!$D$14:$D$43,MATCH(C102,'Inventario'!$B$14:$B$43,0)),"Revisar código"))</x:f>
      </x:c>
      <x:c r="E102" s="24"/>
      <x:c r="F102" s="41"/>
      <x:c r="G102" s="38"/>
      <x:c r="H102" s="16" t="str">
        <x:f>IF(AND(COUNTA(B102:C102)=0,COUNTA(E102:G102)=0,COUNTA(I102:J102)=0),"",IF(K102&lt;&gt;"OK","Revisar datos",IF(E102="Entrada",F102*G102,0)))</x:f>
      </x:c>
      <x:c r="I102" s="24"/>
      <x:c r="J102" s="24"/>
      <x:c r="K102" s="40" t="str">
        <x:f>IF(AND(COUNTA(B102:C102)=0,COUNTA(E102:G102)=0,COUNTA(I102:J102)=0),"",IF(NOT(AND(ISNUMBER(B102),B102&gt;0,B102=INT(B102))),"Revisar: fecha",IF(OR(COUNTIFS('Inventario'!$B$14:$B$43,C102)&lt;&gt;1,NOT(OR(D102="kg",D102="g",D102="l",D102="ml",D102="pza"))),"Revisar: código",IF(NOT(OR(E102="Entrada",E102="Salida",E102="Merma")),"Revisar: tipo",IF(NOT(AND(ISNUMBER(F102),F102&gt;0)),"Revisar: cantidad",IF(AND(E102="Entrada",NOT(AND(ISNUMBER(G102),G102&gt;=0))),"Revisar: costo de compra",IF(AND(E102&lt;&gt;"Entrada",G102&lt;&gt;""),"Revisar: costo solo entrada","OK")))))))</x:f>
      </x:c>
    </x:row>
    <x:row r="103" ht="24" customHeight="1">
      <x:c r="A103" s="3"/>
      <x:c r="B103" s="25"/>
      <x:c r="C103" s="24"/>
      <x:c r="D103" s="3" t="str">
        <x:f>IF(AND(COUNTA(B103:C103)=0,COUNTA(E103:G103)=0,COUNTA(I103:J103)=0),"",IF(COUNTIFS('Inventario'!$B$14:$B$43,C103)=1,INDEX('Inventario'!$D$14:$D$43,MATCH(C103,'Inventario'!$B$14:$B$43,0)),"Revisar código"))</x:f>
      </x:c>
      <x:c r="E103" s="24"/>
      <x:c r="F103" s="41"/>
      <x:c r="G103" s="38"/>
      <x:c r="H103" s="16" t="str">
        <x:f>IF(AND(COUNTA(B103:C103)=0,COUNTA(E103:G103)=0,COUNTA(I103:J103)=0),"",IF(K103&lt;&gt;"OK","Revisar datos",IF(E103="Entrada",F103*G103,0)))</x:f>
      </x:c>
      <x:c r="I103" s="24"/>
      <x:c r="J103" s="24"/>
      <x:c r="K103" s="40" t="str">
        <x:f>IF(AND(COUNTA(B103:C103)=0,COUNTA(E103:G103)=0,COUNTA(I103:J103)=0),"",IF(NOT(AND(ISNUMBER(B103),B103&gt;0,B103=INT(B103))),"Revisar: fecha",IF(OR(COUNTIFS('Inventario'!$B$14:$B$43,C103)&lt;&gt;1,NOT(OR(D103="kg",D103="g",D103="l",D103="ml",D103="pza"))),"Revisar: código",IF(NOT(OR(E103="Entrada",E103="Salida",E103="Merma")),"Revisar: tipo",IF(NOT(AND(ISNUMBER(F103),F103&gt;0)),"Revisar: cantidad",IF(AND(E103="Entrada",NOT(AND(ISNUMBER(G103),G103&gt;=0))),"Revisar: costo de compra",IF(AND(E103&lt;&gt;"Entrada",G103&lt;&gt;""),"Revisar: costo solo entrada","OK")))))))</x:f>
      </x:c>
    </x:row>
    <x:row r="104" ht="24" customHeight="1">
      <x:c r="A104" s="3"/>
      <x:c r="B104" s="25"/>
      <x:c r="C104" s="24"/>
      <x:c r="D104" s="3" t="str">
        <x:f>IF(AND(COUNTA(B104:C104)=0,COUNTA(E104:G104)=0,COUNTA(I104:J104)=0),"",IF(COUNTIFS('Inventario'!$B$14:$B$43,C104)=1,INDEX('Inventario'!$D$14:$D$43,MATCH(C104,'Inventario'!$B$14:$B$43,0)),"Revisar código"))</x:f>
      </x:c>
      <x:c r="E104" s="24"/>
      <x:c r="F104" s="41"/>
      <x:c r="G104" s="38"/>
      <x:c r="H104" s="16" t="str">
        <x:f>IF(AND(COUNTA(B104:C104)=0,COUNTA(E104:G104)=0,COUNTA(I104:J104)=0),"",IF(K104&lt;&gt;"OK","Revisar datos",IF(E104="Entrada",F104*G104,0)))</x:f>
      </x:c>
      <x:c r="I104" s="24"/>
      <x:c r="J104" s="24"/>
      <x:c r="K104" s="40" t="str">
        <x:f>IF(AND(COUNTA(B104:C104)=0,COUNTA(E104:G104)=0,COUNTA(I104:J104)=0),"",IF(NOT(AND(ISNUMBER(B104),B104&gt;0,B104=INT(B104))),"Revisar: fecha",IF(OR(COUNTIFS('Inventario'!$B$14:$B$43,C104)&lt;&gt;1,NOT(OR(D104="kg",D104="g",D104="l",D104="ml",D104="pza"))),"Revisar: código",IF(NOT(OR(E104="Entrada",E104="Salida",E104="Merma")),"Revisar: tipo",IF(NOT(AND(ISNUMBER(F104),F104&gt;0)),"Revisar: cantidad",IF(AND(E104="Entrada",NOT(AND(ISNUMBER(G104),G104&gt;=0))),"Revisar: costo de compra",IF(AND(E104&lt;&gt;"Entrada",G104&lt;&gt;""),"Revisar: costo solo entrada","OK")))))))</x:f>
      </x:c>
    </x:row>
    <x:row r="105" ht="24" customHeight="1">
      <x:c r="A105" s="3"/>
      <x:c r="B105" s="25"/>
      <x:c r="C105" s="24"/>
      <x:c r="D105" s="3" t="str">
        <x:f>IF(AND(COUNTA(B105:C105)=0,COUNTA(E105:G105)=0,COUNTA(I105:J105)=0),"",IF(COUNTIFS('Inventario'!$B$14:$B$43,C105)=1,INDEX('Inventario'!$D$14:$D$43,MATCH(C105,'Inventario'!$B$14:$B$43,0)),"Revisar código"))</x:f>
      </x:c>
      <x:c r="E105" s="24"/>
      <x:c r="F105" s="41"/>
      <x:c r="G105" s="38"/>
      <x:c r="H105" s="16" t="str">
        <x:f>IF(AND(COUNTA(B105:C105)=0,COUNTA(E105:G105)=0,COUNTA(I105:J105)=0),"",IF(K105&lt;&gt;"OK","Revisar datos",IF(E105="Entrada",F105*G105,0)))</x:f>
      </x:c>
      <x:c r="I105" s="24"/>
      <x:c r="J105" s="24"/>
      <x:c r="K105" s="40" t="str">
        <x:f>IF(AND(COUNTA(B105:C105)=0,COUNTA(E105:G105)=0,COUNTA(I105:J105)=0),"",IF(NOT(AND(ISNUMBER(B105),B105&gt;0,B105=INT(B105))),"Revisar: fecha",IF(OR(COUNTIFS('Inventario'!$B$14:$B$43,C105)&lt;&gt;1,NOT(OR(D105="kg",D105="g",D105="l",D105="ml",D105="pza"))),"Revisar: código",IF(NOT(OR(E105="Entrada",E105="Salida",E105="Merma")),"Revisar: tipo",IF(NOT(AND(ISNUMBER(F105),F105&gt;0)),"Revisar: cantidad",IF(AND(E105="Entrada",NOT(AND(ISNUMBER(G105),G105&gt;=0))),"Revisar: costo de compra",IF(AND(E105&lt;&gt;"Entrada",G105&lt;&gt;""),"Revisar: costo solo entrada","OK")))))))</x:f>
      </x:c>
    </x:row>
    <x:row r="106" ht="24" customHeight="1">
      <x:c r="A106" s="3"/>
      <x:c r="B106" s="25"/>
      <x:c r="C106" s="24"/>
      <x:c r="D106" s="3" t="str">
        <x:f>IF(AND(COUNTA(B106:C106)=0,COUNTA(E106:G106)=0,COUNTA(I106:J106)=0),"",IF(COUNTIFS('Inventario'!$B$14:$B$43,C106)=1,INDEX('Inventario'!$D$14:$D$43,MATCH(C106,'Inventario'!$B$14:$B$43,0)),"Revisar código"))</x:f>
      </x:c>
      <x:c r="E106" s="24"/>
      <x:c r="F106" s="41"/>
      <x:c r="G106" s="38"/>
      <x:c r="H106" s="16" t="str">
        <x:f>IF(AND(COUNTA(B106:C106)=0,COUNTA(E106:G106)=0,COUNTA(I106:J106)=0),"",IF(K106&lt;&gt;"OK","Revisar datos",IF(E106="Entrada",F106*G106,0)))</x:f>
      </x:c>
      <x:c r="I106" s="24"/>
      <x:c r="J106" s="24"/>
      <x:c r="K106" s="40" t="str">
        <x:f>IF(AND(COUNTA(B106:C106)=0,COUNTA(E106:G106)=0,COUNTA(I106:J106)=0),"",IF(NOT(AND(ISNUMBER(B106),B106&gt;0,B106=INT(B106))),"Revisar: fecha",IF(OR(COUNTIFS('Inventario'!$B$14:$B$43,C106)&lt;&gt;1,NOT(OR(D106="kg",D106="g",D106="l",D106="ml",D106="pza"))),"Revisar: código",IF(NOT(OR(E106="Entrada",E106="Salida",E106="Merma")),"Revisar: tipo",IF(NOT(AND(ISNUMBER(F106),F106&gt;0)),"Revisar: cantidad",IF(AND(E106="Entrada",NOT(AND(ISNUMBER(G106),G106&gt;=0))),"Revisar: costo de compra",IF(AND(E106&lt;&gt;"Entrada",G106&lt;&gt;""),"Revisar: costo solo entrada","OK")))))))</x:f>
      </x:c>
    </x:row>
    <x:row r="107" ht="24" customHeight="1">
      <x:c r="A107" s="3"/>
      <x:c r="B107" s="25"/>
      <x:c r="C107" s="24"/>
      <x:c r="D107" s="3" t="str">
        <x:f>IF(AND(COUNTA(B107:C107)=0,COUNTA(E107:G107)=0,COUNTA(I107:J107)=0),"",IF(COUNTIFS('Inventario'!$B$14:$B$43,C107)=1,INDEX('Inventario'!$D$14:$D$43,MATCH(C107,'Inventario'!$B$14:$B$43,0)),"Revisar código"))</x:f>
      </x:c>
      <x:c r="E107" s="24"/>
      <x:c r="F107" s="41"/>
      <x:c r="G107" s="38"/>
      <x:c r="H107" s="16" t="str">
        <x:f>IF(AND(COUNTA(B107:C107)=0,COUNTA(E107:G107)=0,COUNTA(I107:J107)=0),"",IF(K107&lt;&gt;"OK","Revisar datos",IF(E107="Entrada",F107*G107,0)))</x:f>
      </x:c>
      <x:c r="I107" s="24"/>
      <x:c r="J107" s="24"/>
      <x:c r="K107" s="40" t="str">
        <x:f>IF(AND(COUNTA(B107:C107)=0,COUNTA(E107:G107)=0,COUNTA(I107:J107)=0),"",IF(NOT(AND(ISNUMBER(B107),B107&gt;0,B107=INT(B107))),"Revisar: fecha",IF(OR(COUNTIFS('Inventario'!$B$14:$B$43,C107)&lt;&gt;1,NOT(OR(D107="kg",D107="g",D107="l",D107="ml",D107="pza"))),"Revisar: código",IF(NOT(OR(E107="Entrada",E107="Salida",E107="Merma")),"Revisar: tipo",IF(NOT(AND(ISNUMBER(F107),F107&gt;0)),"Revisar: cantidad",IF(AND(E107="Entrada",NOT(AND(ISNUMBER(G107),G107&gt;=0))),"Revisar: costo de compra",IF(AND(E107&lt;&gt;"Entrada",G107&lt;&gt;""),"Revisar: costo solo entrada","OK")))))))</x:f>
      </x:c>
    </x:row>
    <x:row r="108" ht="24" customHeight="1">
      <x:c r="A108" s="3"/>
      <x:c r="B108" s="25"/>
      <x:c r="C108" s="24"/>
      <x:c r="D108" s="3" t="str">
        <x:f>IF(AND(COUNTA(B108:C108)=0,COUNTA(E108:G108)=0,COUNTA(I108:J108)=0),"",IF(COUNTIFS('Inventario'!$B$14:$B$43,C108)=1,INDEX('Inventario'!$D$14:$D$43,MATCH(C108,'Inventario'!$B$14:$B$43,0)),"Revisar código"))</x:f>
      </x:c>
      <x:c r="E108" s="24"/>
      <x:c r="F108" s="41"/>
      <x:c r="G108" s="38"/>
      <x:c r="H108" s="16" t="str">
        <x:f>IF(AND(COUNTA(B108:C108)=0,COUNTA(E108:G108)=0,COUNTA(I108:J108)=0),"",IF(K108&lt;&gt;"OK","Revisar datos",IF(E108="Entrada",F108*G108,0)))</x:f>
      </x:c>
      <x:c r="I108" s="24"/>
      <x:c r="J108" s="24"/>
      <x:c r="K108" s="40" t="str">
        <x:f>IF(AND(COUNTA(B108:C108)=0,COUNTA(E108:G108)=0,COUNTA(I108:J108)=0),"",IF(NOT(AND(ISNUMBER(B108),B108&gt;0,B108=INT(B108))),"Revisar: fecha",IF(OR(COUNTIFS('Inventario'!$B$14:$B$43,C108)&lt;&gt;1,NOT(OR(D108="kg",D108="g",D108="l",D108="ml",D108="pza"))),"Revisar: código",IF(NOT(OR(E108="Entrada",E108="Salida",E108="Merma")),"Revisar: tipo",IF(NOT(AND(ISNUMBER(F108),F108&gt;0)),"Revisar: cantidad",IF(AND(E108="Entrada",NOT(AND(ISNUMBER(G108),G108&gt;=0))),"Revisar: costo de compra",IF(AND(E108&lt;&gt;"Entrada",G108&lt;&gt;""),"Revisar: costo solo entrada","OK")))))))</x:f>
      </x:c>
    </x:row>
    <x:row r="109" ht="24" customHeight="1">
      <x:c r="A109" s="3"/>
      <x:c r="B109" s="25"/>
      <x:c r="C109" s="24"/>
      <x:c r="D109" s="3" t="str">
        <x:f>IF(AND(COUNTA(B109:C109)=0,COUNTA(E109:G109)=0,COUNTA(I109:J109)=0),"",IF(COUNTIFS('Inventario'!$B$14:$B$43,C109)=1,INDEX('Inventario'!$D$14:$D$43,MATCH(C109,'Inventario'!$B$14:$B$43,0)),"Revisar código"))</x:f>
      </x:c>
      <x:c r="E109" s="24"/>
      <x:c r="F109" s="41"/>
      <x:c r="G109" s="38"/>
      <x:c r="H109" s="16" t="str">
        <x:f>IF(AND(COUNTA(B109:C109)=0,COUNTA(E109:G109)=0,COUNTA(I109:J109)=0),"",IF(K109&lt;&gt;"OK","Revisar datos",IF(E109="Entrada",F109*G109,0)))</x:f>
      </x:c>
      <x:c r="I109" s="24"/>
      <x:c r="J109" s="24"/>
      <x:c r="K109" s="40" t="str">
        <x:f>IF(AND(COUNTA(B109:C109)=0,COUNTA(E109:G109)=0,COUNTA(I109:J109)=0),"",IF(NOT(AND(ISNUMBER(B109),B109&gt;0,B109=INT(B109))),"Revisar: fecha",IF(OR(COUNTIFS('Inventario'!$B$14:$B$43,C109)&lt;&gt;1,NOT(OR(D109="kg",D109="g",D109="l",D109="ml",D109="pza"))),"Revisar: código",IF(NOT(OR(E109="Entrada",E109="Salida",E109="Merma")),"Revisar: tipo",IF(NOT(AND(ISNUMBER(F109),F109&gt;0)),"Revisar: cantidad",IF(AND(E109="Entrada",NOT(AND(ISNUMBER(G109),G109&gt;=0))),"Revisar: costo de compra",IF(AND(E109&lt;&gt;"Entrada",G109&lt;&gt;""),"Revisar: costo solo entrada","OK")))))))</x:f>
      </x:c>
    </x:row>
    <x:row r="110" ht="24" customHeight="1">
      <x:c r="A110" s="3"/>
      <x:c r="B110" s="25"/>
      <x:c r="C110" s="24"/>
      <x:c r="D110" s="3" t="str">
        <x:f>IF(AND(COUNTA(B110:C110)=0,COUNTA(E110:G110)=0,COUNTA(I110:J110)=0),"",IF(COUNTIFS('Inventario'!$B$14:$B$43,C110)=1,INDEX('Inventario'!$D$14:$D$43,MATCH(C110,'Inventario'!$B$14:$B$43,0)),"Revisar código"))</x:f>
      </x:c>
      <x:c r="E110" s="24"/>
      <x:c r="F110" s="41"/>
      <x:c r="G110" s="38"/>
      <x:c r="H110" s="16" t="str">
        <x:f>IF(AND(COUNTA(B110:C110)=0,COUNTA(E110:G110)=0,COUNTA(I110:J110)=0),"",IF(K110&lt;&gt;"OK","Revisar datos",IF(E110="Entrada",F110*G110,0)))</x:f>
      </x:c>
      <x:c r="I110" s="24"/>
      <x:c r="J110" s="24"/>
      <x:c r="K110" s="40" t="str">
        <x:f>IF(AND(COUNTA(B110:C110)=0,COUNTA(E110:G110)=0,COUNTA(I110:J110)=0),"",IF(NOT(AND(ISNUMBER(B110),B110&gt;0,B110=INT(B110))),"Revisar: fecha",IF(OR(COUNTIFS('Inventario'!$B$14:$B$43,C110)&lt;&gt;1,NOT(OR(D110="kg",D110="g",D110="l",D110="ml",D110="pza"))),"Revisar: código",IF(NOT(OR(E110="Entrada",E110="Salida",E110="Merma")),"Revisar: tipo",IF(NOT(AND(ISNUMBER(F110),F110&gt;0)),"Revisar: cantidad",IF(AND(E110="Entrada",NOT(AND(ISNUMBER(G110),G110&gt;=0))),"Revisar: costo de compra",IF(AND(E110&lt;&gt;"Entrada",G110&lt;&gt;""),"Revisar: costo solo entrada","OK")))))))</x:f>
      </x:c>
    </x:row>
    <x:row r="111" ht="24" customHeight="1">
      <x:c r="A111" s="3"/>
      <x:c r="B111" s="25"/>
      <x:c r="C111" s="24"/>
      <x:c r="D111" s="3" t="str">
        <x:f>IF(AND(COUNTA(B111:C111)=0,COUNTA(E111:G111)=0,COUNTA(I111:J111)=0),"",IF(COUNTIFS('Inventario'!$B$14:$B$43,C111)=1,INDEX('Inventario'!$D$14:$D$43,MATCH(C111,'Inventario'!$B$14:$B$43,0)),"Revisar código"))</x:f>
      </x:c>
      <x:c r="E111" s="24"/>
      <x:c r="F111" s="41"/>
      <x:c r="G111" s="38"/>
      <x:c r="H111" s="16" t="str">
        <x:f>IF(AND(COUNTA(B111:C111)=0,COUNTA(E111:G111)=0,COUNTA(I111:J111)=0),"",IF(K111&lt;&gt;"OK","Revisar datos",IF(E111="Entrada",F111*G111,0)))</x:f>
      </x:c>
      <x:c r="I111" s="24"/>
      <x:c r="J111" s="24"/>
      <x:c r="K111" s="40" t="str">
        <x:f>IF(AND(COUNTA(B111:C111)=0,COUNTA(E111:G111)=0,COUNTA(I111:J111)=0),"",IF(NOT(AND(ISNUMBER(B111),B111&gt;0,B111=INT(B111))),"Revisar: fecha",IF(OR(COUNTIFS('Inventario'!$B$14:$B$43,C111)&lt;&gt;1,NOT(OR(D111="kg",D111="g",D111="l",D111="ml",D111="pza"))),"Revisar: código",IF(NOT(OR(E111="Entrada",E111="Salida",E111="Merma")),"Revisar: tipo",IF(NOT(AND(ISNUMBER(F111),F111&gt;0)),"Revisar: cantidad",IF(AND(E111="Entrada",NOT(AND(ISNUMBER(G111),G111&gt;=0))),"Revisar: costo de compra",IF(AND(E111&lt;&gt;"Entrada",G111&lt;&gt;""),"Revisar: costo solo entrada","OK")))))))</x:f>
      </x:c>
    </x:row>
    <x:row r="112" ht="24" customHeight="1">
      <x:c r="A112" s="3"/>
      <x:c r="B112" s="25"/>
      <x:c r="C112" s="24"/>
      <x:c r="D112" s="3" t="str">
        <x:f>IF(AND(COUNTA(B112:C112)=0,COUNTA(E112:G112)=0,COUNTA(I112:J112)=0),"",IF(COUNTIFS('Inventario'!$B$14:$B$43,C112)=1,INDEX('Inventario'!$D$14:$D$43,MATCH(C112,'Inventario'!$B$14:$B$43,0)),"Revisar código"))</x:f>
      </x:c>
      <x:c r="E112" s="24"/>
      <x:c r="F112" s="41"/>
      <x:c r="G112" s="38"/>
      <x:c r="H112" s="16" t="str">
        <x:f>IF(AND(COUNTA(B112:C112)=0,COUNTA(E112:G112)=0,COUNTA(I112:J112)=0),"",IF(K112&lt;&gt;"OK","Revisar datos",IF(E112="Entrada",F112*G112,0)))</x:f>
      </x:c>
      <x:c r="I112" s="24"/>
      <x:c r="J112" s="24"/>
      <x:c r="K112" s="40" t="str">
        <x:f>IF(AND(COUNTA(B112:C112)=0,COUNTA(E112:G112)=0,COUNTA(I112:J112)=0),"",IF(NOT(AND(ISNUMBER(B112),B112&gt;0,B112=INT(B112))),"Revisar: fecha",IF(OR(COUNTIFS('Inventario'!$B$14:$B$43,C112)&lt;&gt;1,NOT(OR(D112="kg",D112="g",D112="l",D112="ml",D112="pza"))),"Revisar: código",IF(NOT(OR(E112="Entrada",E112="Salida",E112="Merma")),"Revisar: tipo",IF(NOT(AND(ISNUMBER(F112),F112&gt;0)),"Revisar: cantidad",IF(AND(E112="Entrada",NOT(AND(ISNUMBER(G112),G112&gt;=0))),"Revisar: costo de compra",IF(AND(E112&lt;&gt;"Entrada",G112&lt;&gt;""),"Revisar: costo solo entrada","OK")))))))</x:f>
      </x:c>
    </x:row>
    <x:row r="113" ht="24" customHeight="1">
      <x:c r="A113" s="3"/>
      <x:c r="B113" s="25"/>
      <x:c r="C113" s="24"/>
      <x:c r="D113" s="3" t="str">
        <x:f>IF(AND(COUNTA(B113:C113)=0,COUNTA(E113:G113)=0,COUNTA(I113:J113)=0),"",IF(COUNTIFS('Inventario'!$B$14:$B$43,C113)=1,INDEX('Inventario'!$D$14:$D$43,MATCH(C113,'Inventario'!$B$14:$B$43,0)),"Revisar código"))</x:f>
      </x:c>
      <x:c r="E113" s="24"/>
      <x:c r="F113" s="41"/>
      <x:c r="G113" s="38"/>
      <x:c r="H113" s="16" t="str">
        <x:f>IF(AND(COUNTA(B113:C113)=0,COUNTA(E113:G113)=0,COUNTA(I113:J113)=0),"",IF(K113&lt;&gt;"OK","Revisar datos",IF(E113="Entrada",F113*G113,0)))</x:f>
      </x:c>
      <x:c r="I113" s="24"/>
      <x:c r="J113" s="24"/>
      <x:c r="K113" s="40" t="str">
        <x:f>IF(AND(COUNTA(B113:C113)=0,COUNTA(E113:G113)=0,COUNTA(I113:J113)=0),"",IF(NOT(AND(ISNUMBER(B113),B113&gt;0,B113=INT(B113))),"Revisar: fecha",IF(OR(COUNTIFS('Inventario'!$B$14:$B$43,C113)&lt;&gt;1,NOT(OR(D113="kg",D113="g",D113="l",D113="ml",D113="pza"))),"Revisar: código",IF(NOT(OR(E113="Entrada",E113="Salida",E113="Merma")),"Revisar: tipo",IF(NOT(AND(ISNUMBER(F113),F113&gt;0)),"Revisar: cantidad",IF(AND(E113="Entrada",NOT(AND(ISNUMBER(G113),G113&gt;=0))),"Revisar: costo de compra",IF(AND(E113&lt;&gt;"Entrada",G113&lt;&gt;""),"Revisar: costo solo entrada","OK")))))))</x:f>
      </x:c>
    </x:row>
    <x:row r="114" ht="24" customHeight="1">
      <x:c r="A114" s="3"/>
      <x:c r="B114" s="25"/>
      <x:c r="C114" s="24"/>
      <x:c r="D114" s="3" t="str">
        <x:f>IF(AND(COUNTA(B114:C114)=0,COUNTA(E114:G114)=0,COUNTA(I114:J114)=0),"",IF(COUNTIFS('Inventario'!$B$14:$B$43,C114)=1,INDEX('Inventario'!$D$14:$D$43,MATCH(C114,'Inventario'!$B$14:$B$43,0)),"Revisar código"))</x:f>
      </x:c>
      <x:c r="E114" s="24"/>
      <x:c r="F114" s="41"/>
      <x:c r="G114" s="38"/>
      <x:c r="H114" s="16" t="str">
        <x:f>IF(AND(COUNTA(B114:C114)=0,COUNTA(E114:G114)=0,COUNTA(I114:J114)=0),"",IF(K114&lt;&gt;"OK","Revisar datos",IF(E114="Entrada",F114*G114,0)))</x:f>
      </x:c>
      <x:c r="I114" s="24"/>
      <x:c r="J114" s="24"/>
      <x:c r="K114" s="40" t="str">
        <x:f>IF(AND(COUNTA(B114:C114)=0,COUNTA(E114:G114)=0,COUNTA(I114:J114)=0),"",IF(NOT(AND(ISNUMBER(B114),B114&gt;0,B114=INT(B114))),"Revisar: fecha",IF(OR(COUNTIFS('Inventario'!$B$14:$B$43,C114)&lt;&gt;1,NOT(OR(D114="kg",D114="g",D114="l",D114="ml",D114="pza"))),"Revisar: código",IF(NOT(OR(E114="Entrada",E114="Salida",E114="Merma")),"Revisar: tipo",IF(NOT(AND(ISNUMBER(F114),F114&gt;0)),"Revisar: cantidad",IF(AND(E114="Entrada",NOT(AND(ISNUMBER(G114),G114&gt;=0))),"Revisar: costo de compra",IF(AND(E114&lt;&gt;"Entrada",G114&lt;&gt;""),"Revisar: costo solo entrada","OK")))))))</x:f>
      </x:c>
    </x:row>
    <x:row r="115" ht="24" customHeight="1">
      <x:c r="A115" s="3"/>
      <x:c r="B115" s="25"/>
      <x:c r="C115" s="24"/>
      <x:c r="D115" s="3" t="str">
        <x:f>IF(AND(COUNTA(B115:C115)=0,COUNTA(E115:G115)=0,COUNTA(I115:J115)=0),"",IF(COUNTIFS('Inventario'!$B$14:$B$43,C115)=1,INDEX('Inventario'!$D$14:$D$43,MATCH(C115,'Inventario'!$B$14:$B$43,0)),"Revisar código"))</x:f>
      </x:c>
      <x:c r="E115" s="24"/>
      <x:c r="F115" s="41"/>
      <x:c r="G115" s="38"/>
      <x:c r="H115" s="16" t="str">
        <x:f>IF(AND(COUNTA(B115:C115)=0,COUNTA(E115:G115)=0,COUNTA(I115:J115)=0),"",IF(K115&lt;&gt;"OK","Revisar datos",IF(E115="Entrada",F115*G115,0)))</x:f>
      </x:c>
      <x:c r="I115" s="24"/>
      <x:c r="J115" s="24"/>
      <x:c r="K115" s="40" t="str">
        <x:f>IF(AND(COUNTA(B115:C115)=0,COUNTA(E115:G115)=0,COUNTA(I115:J115)=0),"",IF(NOT(AND(ISNUMBER(B115),B115&gt;0,B115=INT(B115))),"Revisar: fecha",IF(OR(COUNTIFS('Inventario'!$B$14:$B$43,C115)&lt;&gt;1,NOT(OR(D115="kg",D115="g",D115="l",D115="ml",D115="pza"))),"Revisar: código",IF(NOT(OR(E115="Entrada",E115="Salida",E115="Merma")),"Revisar: tipo",IF(NOT(AND(ISNUMBER(F115),F115&gt;0)),"Revisar: cantidad",IF(AND(E115="Entrada",NOT(AND(ISNUMBER(G115),G115&gt;=0))),"Revisar: costo de compra",IF(AND(E115&lt;&gt;"Entrada",G115&lt;&gt;""),"Revisar: costo solo entrada","OK")))))))</x:f>
      </x:c>
    </x:row>
    <x:row r="116" ht="24" customHeight="1">
      <x:c r="A116" s="3"/>
      <x:c r="B116" s="25"/>
      <x:c r="C116" s="24"/>
      <x:c r="D116" s="3" t="str">
        <x:f>IF(AND(COUNTA(B116:C116)=0,COUNTA(E116:G116)=0,COUNTA(I116:J116)=0),"",IF(COUNTIFS('Inventario'!$B$14:$B$43,C116)=1,INDEX('Inventario'!$D$14:$D$43,MATCH(C116,'Inventario'!$B$14:$B$43,0)),"Revisar código"))</x:f>
      </x:c>
      <x:c r="E116" s="24"/>
      <x:c r="F116" s="41"/>
      <x:c r="G116" s="38"/>
      <x:c r="H116" s="16" t="str">
        <x:f>IF(AND(COUNTA(B116:C116)=0,COUNTA(E116:G116)=0,COUNTA(I116:J116)=0),"",IF(K116&lt;&gt;"OK","Revisar datos",IF(E116="Entrada",F116*G116,0)))</x:f>
      </x:c>
      <x:c r="I116" s="24"/>
      <x:c r="J116" s="24"/>
      <x:c r="K116" s="40" t="str">
        <x:f>IF(AND(COUNTA(B116:C116)=0,COUNTA(E116:G116)=0,COUNTA(I116:J116)=0),"",IF(NOT(AND(ISNUMBER(B116),B116&gt;0,B116=INT(B116))),"Revisar: fecha",IF(OR(COUNTIFS('Inventario'!$B$14:$B$43,C116)&lt;&gt;1,NOT(OR(D116="kg",D116="g",D116="l",D116="ml",D116="pza"))),"Revisar: código",IF(NOT(OR(E116="Entrada",E116="Salida",E116="Merma")),"Revisar: tipo",IF(NOT(AND(ISNUMBER(F116),F116&gt;0)),"Revisar: cantidad",IF(AND(E116="Entrada",NOT(AND(ISNUMBER(G116),G116&gt;=0))),"Revisar: costo de compra",IF(AND(E116&lt;&gt;"Entrada",G116&lt;&gt;""),"Revisar: costo solo entrada","OK")))))))</x:f>
      </x:c>
    </x:row>
    <x:row r="117" ht="24" customHeight="1">
      <x:c r="A117" s="3"/>
      <x:c r="B117" s="25"/>
      <x:c r="C117" s="24"/>
      <x:c r="D117" s="3" t="str">
        <x:f>IF(AND(COUNTA(B117:C117)=0,COUNTA(E117:G117)=0,COUNTA(I117:J117)=0),"",IF(COUNTIFS('Inventario'!$B$14:$B$43,C117)=1,INDEX('Inventario'!$D$14:$D$43,MATCH(C117,'Inventario'!$B$14:$B$43,0)),"Revisar código"))</x:f>
      </x:c>
      <x:c r="E117" s="24"/>
      <x:c r="F117" s="41"/>
      <x:c r="G117" s="38"/>
      <x:c r="H117" s="16" t="str">
        <x:f>IF(AND(COUNTA(B117:C117)=0,COUNTA(E117:G117)=0,COUNTA(I117:J117)=0),"",IF(K117&lt;&gt;"OK","Revisar datos",IF(E117="Entrada",F117*G117,0)))</x:f>
      </x:c>
      <x:c r="I117" s="24"/>
      <x:c r="J117" s="24"/>
      <x:c r="K117" s="40" t="str">
        <x:f>IF(AND(COUNTA(B117:C117)=0,COUNTA(E117:G117)=0,COUNTA(I117:J117)=0),"",IF(NOT(AND(ISNUMBER(B117),B117&gt;0,B117=INT(B117))),"Revisar: fecha",IF(OR(COUNTIFS('Inventario'!$B$14:$B$43,C117)&lt;&gt;1,NOT(OR(D117="kg",D117="g",D117="l",D117="ml",D117="pza"))),"Revisar: código",IF(NOT(OR(E117="Entrada",E117="Salida",E117="Merma")),"Revisar: tipo",IF(NOT(AND(ISNUMBER(F117),F117&gt;0)),"Revisar: cantidad",IF(AND(E117="Entrada",NOT(AND(ISNUMBER(G117),G117&gt;=0))),"Revisar: costo de compra",IF(AND(E117&lt;&gt;"Entrada",G117&lt;&gt;""),"Revisar: costo solo entrada","OK")))))))</x:f>
      </x:c>
    </x:row>
    <x:row r="118" ht="24" customHeight="1">
      <x:c r="A118" s="3"/>
      <x:c r="B118" s="25"/>
      <x:c r="C118" s="24"/>
      <x:c r="D118" s="3" t="str">
        <x:f>IF(AND(COUNTA(B118:C118)=0,COUNTA(E118:G118)=0,COUNTA(I118:J118)=0),"",IF(COUNTIFS('Inventario'!$B$14:$B$43,C118)=1,INDEX('Inventario'!$D$14:$D$43,MATCH(C118,'Inventario'!$B$14:$B$43,0)),"Revisar código"))</x:f>
      </x:c>
      <x:c r="E118" s="24"/>
      <x:c r="F118" s="41"/>
      <x:c r="G118" s="38"/>
      <x:c r="H118" s="16" t="str">
        <x:f>IF(AND(COUNTA(B118:C118)=0,COUNTA(E118:G118)=0,COUNTA(I118:J118)=0),"",IF(K118&lt;&gt;"OK","Revisar datos",IF(E118="Entrada",F118*G118,0)))</x:f>
      </x:c>
      <x:c r="I118" s="24"/>
      <x:c r="J118" s="24"/>
      <x:c r="K118" s="40" t="str">
        <x:f>IF(AND(COUNTA(B118:C118)=0,COUNTA(E118:G118)=0,COUNTA(I118:J118)=0),"",IF(NOT(AND(ISNUMBER(B118),B118&gt;0,B118=INT(B118))),"Revisar: fecha",IF(OR(COUNTIFS('Inventario'!$B$14:$B$43,C118)&lt;&gt;1,NOT(OR(D118="kg",D118="g",D118="l",D118="ml",D118="pza"))),"Revisar: código",IF(NOT(OR(E118="Entrada",E118="Salida",E118="Merma")),"Revisar: tipo",IF(NOT(AND(ISNUMBER(F118),F118&gt;0)),"Revisar: cantidad",IF(AND(E118="Entrada",NOT(AND(ISNUMBER(G118),G118&gt;=0))),"Revisar: costo de compra",IF(AND(E118&lt;&gt;"Entrada",G118&lt;&gt;""),"Revisar: costo solo entrada","OK")))))))</x:f>
      </x:c>
    </x:row>
    <x:row r="119" ht="24" customHeight="1">
      <x:c r="A119" s="3"/>
      <x:c r="B119" s="25"/>
      <x:c r="C119" s="24"/>
      <x:c r="D119" s="3" t="str">
        <x:f>IF(AND(COUNTA(B119:C119)=0,COUNTA(E119:G119)=0,COUNTA(I119:J119)=0),"",IF(COUNTIFS('Inventario'!$B$14:$B$43,C119)=1,INDEX('Inventario'!$D$14:$D$43,MATCH(C119,'Inventario'!$B$14:$B$43,0)),"Revisar código"))</x:f>
      </x:c>
      <x:c r="E119" s="24"/>
      <x:c r="F119" s="41"/>
      <x:c r="G119" s="38"/>
      <x:c r="H119" s="16" t="str">
        <x:f>IF(AND(COUNTA(B119:C119)=0,COUNTA(E119:G119)=0,COUNTA(I119:J119)=0),"",IF(K119&lt;&gt;"OK","Revisar datos",IF(E119="Entrada",F119*G119,0)))</x:f>
      </x:c>
      <x:c r="I119" s="24"/>
      <x:c r="J119" s="24"/>
      <x:c r="K119" s="40" t="str">
        <x:f>IF(AND(COUNTA(B119:C119)=0,COUNTA(E119:G119)=0,COUNTA(I119:J119)=0),"",IF(NOT(AND(ISNUMBER(B119),B119&gt;0,B119=INT(B119))),"Revisar: fecha",IF(OR(COUNTIFS('Inventario'!$B$14:$B$43,C119)&lt;&gt;1,NOT(OR(D119="kg",D119="g",D119="l",D119="ml",D119="pza"))),"Revisar: código",IF(NOT(OR(E119="Entrada",E119="Salida",E119="Merma")),"Revisar: tipo",IF(NOT(AND(ISNUMBER(F119),F119&gt;0)),"Revisar: cantidad",IF(AND(E119="Entrada",NOT(AND(ISNUMBER(G119),G119&gt;=0))),"Revisar: costo de compra",IF(AND(E119&lt;&gt;"Entrada",G119&lt;&gt;""),"Revisar: costo solo entrada","OK")))))))</x:f>
      </x:c>
    </x:row>
    <x:row r="120" ht="24" customHeight="1">
      <x:c r="A120" s="3"/>
      <x:c r="B120" s="25"/>
      <x:c r="C120" s="24"/>
      <x:c r="D120" s="3" t="str">
        <x:f>IF(AND(COUNTA(B120:C120)=0,COUNTA(E120:G120)=0,COUNTA(I120:J120)=0),"",IF(COUNTIFS('Inventario'!$B$14:$B$43,C120)=1,INDEX('Inventario'!$D$14:$D$43,MATCH(C120,'Inventario'!$B$14:$B$43,0)),"Revisar código"))</x:f>
      </x:c>
      <x:c r="E120" s="24"/>
      <x:c r="F120" s="41"/>
      <x:c r="G120" s="38"/>
      <x:c r="H120" s="16" t="str">
        <x:f>IF(AND(COUNTA(B120:C120)=0,COUNTA(E120:G120)=0,COUNTA(I120:J120)=0),"",IF(K120&lt;&gt;"OK","Revisar datos",IF(E120="Entrada",F120*G120,0)))</x:f>
      </x:c>
      <x:c r="I120" s="24"/>
      <x:c r="J120" s="24"/>
      <x:c r="K120" s="40" t="str">
        <x:f>IF(AND(COUNTA(B120:C120)=0,COUNTA(E120:G120)=0,COUNTA(I120:J120)=0),"",IF(NOT(AND(ISNUMBER(B120),B120&gt;0,B120=INT(B120))),"Revisar: fecha",IF(OR(COUNTIFS('Inventario'!$B$14:$B$43,C120)&lt;&gt;1,NOT(OR(D120="kg",D120="g",D120="l",D120="ml",D120="pza"))),"Revisar: código",IF(NOT(OR(E120="Entrada",E120="Salida",E120="Merma")),"Revisar: tipo",IF(NOT(AND(ISNUMBER(F120),F120&gt;0)),"Revisar: cantidad",IF(AND(E120="Entrada",NOT(AND(ISNUMBER(G120),G120&gt;=0))),"Revisar: costo de compra",IF(AND(E120&lt;&gt;"Entrada",G120&lt;&gt;""),"Revisar: costo solo entrada","OK")))))))</x:f>
      </x:c>
    </x:row>
    <x:row r="121" ht="24" customHeight="1">
      <x:c r="A121" s="3"/>
      <x:c r="B121" s="25"/>
      <x:c r="C121" s="24"/>
      <x:c r="D121" s="3" t="str">
        <x:f>IF(AND(COUNTA(B121:C121)=0,COUNTA(E121:G121)=0,COUNTA(I121:J121)=0),"",IF(COUNTIFS('Inventario'!$B$14:$B$43,C121)=1,INDEX('Inventario'!$D$14:$D$43,MATCH(C121,'Inventario'!$B$14:$B$43,0)),"Revisar código"))</x:f>
      </x:c>
      <x:c r="E121" s="24"/>
      <x:c r="F121" s="41"/>
      <x:c r="G121" s="38"/>
      <x:c r="H121" s="16" t="str">
        <x:f>IF(AND(COUNTA(B121:C121)=0,COUNTA(E121:G121)=0,COUNTA(I121:J121)=0),"",IF(K121&lt;&gt;"OK","Revisar datos",IF(E121="Entrada",F121*G121,0)))</x:f>
      </x:c>
      <x:c r="I121" s="24"/>
      <x:c r="J121" s="24"/>
      <x:c r="K121" s="40" t="str">
        <x:f>IF(AND(COUNTA(B121:C121)=0,COUNTA(E121:G121)=0,COUNTA(I121:J121)=0),"",IF(NOT(AND(ISNUMBER(B121),B121&gt;0,B121=INT(B121))),"Revisar: fecha",IF(OR(COUNTIFS('Inventario'!$B$14:$B$43,C121)&lt;&gt;1,NOT(OR(D121="kg",D121="g",D121="l",D121="ml",D121="pza"))),"Revisar: código",IF(NOT(OR(E121="Entrada",E121="Salida",E121="Merma")),"Revisar: tipo",IF(NOT(AND(ISNUMBER(F121),F121&gt;0)),"Revisar: cantidad",IF(AND(E121="Entrada",NOT(AND(ISNUMBER(G121),G121&gt;=0))),"Revisar: costo de compra",IF(AND(E121&lt;&gt;"Entrada",G121&lt;&gt;""),"Revisar: costo solo entrada","OK")))))))</x:f>
      </x:c>
    </x:row>
    <x:row r="122" ht="24" customHeight="1">
      <x:c r="A122" s="3"/>
      <x:c r="B122" s="25"/>
      <x:c r="C122" s="24"/>
      <x:c r="D122" s="3" t="str">
        <x:f>IF(AND(COUNTA(B122:C122)=0,COUNTA(E122:G122)=0,COUNTA(I122:J122)=0),"",IF(COUNTIFS('Inventario'!$B$14:$B$43,C122)=1,INDEX('Inventario'!$D$14:$D$43,MATCH(C122,'Inventario'!$B$14:$B$43,0)),"Revisar código"))</x:f>
      </x:c>
      <x:c r="E122" s="24"/>
      <x:c r="F122" s="41"/>
      <x:c r="G122" s="38"/>
      <x:c r="H122" s="16" t="str">
        <x:f>IF(AND(COUNTA(B122:C122)=0,COUNTA(E122:G122)=0,COUNTA(I122:J122)=0),"",IF(K122&lt;&gt;"OK","Revisar datos",IF(E122="Entrada",F122*G122,0)))</x:f>
      </x:c>
      <x:c r="I122" s="24"/>
      <x:c r="J122" s="24"/>
      <x:c r="K122" s="40" t="str">
        <x:f>IF(AND(COUNTA(B122:C122)=0,COUNTA(E122:G122)=0,COUNTA(I122:J122)=0),"",IF(NOT(AND(ISNUMBER(B122),B122&gt;0,B122=INT(B122))),"Revisar: fecha",IF(OR(COUNTIFS('Inventario'!$B$14:$B$43,C122)&lt;&gt;1,NOT(OR(D122="kg",D122="g",D122="l",D122="ml",D122="pza"))),"Revisar: código",IF(NOT(OR(E122="Entrada",E122="Salida",E122="Merma")),"Revisar: tipo",IF(NOT(AND(ISNUMBER(F122),F122&gt;0)),"Revisar: cantidad",IF(AND(E122="Entrada",NOT(AND(ISNUMBER(G122),G122&gt;=0))),"Revisar: costo de compra",IF(AND(E122&lt;&gt;"Entrada",G122&lt;&gt;""),"Revisar: costo solo entrada","OK")))))))</x:f>
      </x:c>
    </x:row>
    <x:row r="123" ht="24" customHeight="1">
      <x:c r="A123" s="3"/>
      <x:c r="B123" s="25"/>
      <x:c r="C123" s="24"/>
      <x:c r="D123" s="3" t="str">
        <x:f>IF(AND(COUNTA(B123:C123)=0,COUNTA(E123:G123)=0,COUNTA(I123:J123)=0),"",IF(COUNTIFS('Inventario'!$B$14:$B$43,C123)=1,INDEX('Inventario'!$D$14:$D$43,MATCH(C123,'Inventario'!$B$14:$B$43,0)),"Revisar código"))</x:f>
      </x:c>
      <x:c r="E123" s="24"/>
      <x:c r="F123" s="41"/>
      <x:c r="G123" s="38"/>
      <x:c r="H123" s="16" t="str">
        <x:f>IF(AND(COUNTA(B123:C123)=0,COUNTA(E123:G123)=0,COUNTA(I123:J123)=0),"",IF(K123&lt;&gt;"OK","Revisar datos",IF(E123="Entrada",F123*G123,0)))</x:f>
      </x:c>
      <x:c r="I123" s="24"/>
      <x:c r="J123" s="24"/>
      <x:c r="K123" s="40" t="str">
        <x:f>IF(AND(COUNTA(B123:C123)=0,COUNTA(E123:G123)=0,COUNTA(I123:J123)=0),"",IF(NOT(AND(ISNUMBER(B123),B123&gt;0,B123=INT(B123))),"Revisar: fecha",IF(OR(COUNTIFS('Inventario'!$B$14:$B$43,C123)&lt;&gt;1,NOT(OR(D123="kg",D123="g",D123="l",D123="ml",D123="pza"))),"Revisar: código",IF(NOT(OR(E123="Entrada",E123="Salida",E123="Merma")),"Revisar: tipo",IF(NOT(AND(ISNUMBER(F123),F123&gt;0)),"Revisar: cantidad",IF(AND(E123="Entrada",NOT(AND(ISNUMBER(G123),G123&gt;=0))),"Revisar: costo de compra",IF(AND(E123&lt;&gt;"Entrada",G123&lt;&gt;""),"Revisar: costo solo entrada","OK")))))))</x:f>
      </x:c>
    </x:row>
    <x:row r="124" ht="24" customHeight="1">
      <x:c r="A124" s="3"/>
      <x:c r="B124" s="25"/>
      <x:c r="C124" s="24"/>
      <x:c r="D124" s="3" t="str">
        <x:f>IF(AND(COUNTA(B124:C124)=0,COUNTA(E124:G124)=0,COUNTA(I124:J124)=0),"",IF(COUNTIFS('Inventario'!$B$14:$B$43,C124)=1,INDEX('Inventario'!$D$14:$D$43,MATCH(C124,'Inventario'!$B$14:$B$43,0)),"Revisar código"))</x:f>
      </x:c>
      <x:c r="E124" s="24"/>
      <x:c r="F124" s="41"/>
      <x:c r="G124" s="38"/>
      <x:c r="H124" s="16" t="str">
        <x:f>IF(AND(COUNTA(B124:C124)=0,COUNTA(E124:G124)=0,COUNTA(I124:J124)=0),"",IF(K124&lt;&gt;"OK","Revisar datos",IF(E124="Entrada",F124*G124,0)))</x:f>
      </x:c>
      <x:c r="I124" s="24"/>
      <x:c r="J124" s="24"/>
      <x:c r="K124" s="40" t="str">
        <x:f>IF(AND(COUNTA(B124:C124)=0,COUNTA(E124:G124)=0,COUNTA(I124:J124)=0),"",IF(NOT(AND(ISNUMBER(B124),B124&gt;0,B124=INT(B124))),"Revisar: fecha",IF(OR(COUNTIFS('Inventario'!$B$14:$B$43,C124)&lt;&gt;1,NOT(OR(D124="kg",D124="g",D124="l",D124="ml",D124="pza"))),"Revisar: código",IF(NOT(OR(E124="Entrada",E124="Salida",E124="Merma")),"Revisar: tipo",IF(NOT(AND(ISNUMBER(F124),F124&gt;0)),"Revisar: cantidad",IF(AND(E124="Entrada",NOT(AND(ISNUMBER(G124),G124&gt;=0))),"Revisar: costo de compra",IF(AND(E124&lt;&gt;"Entrada",G124&lt;&gt;""),"Revisar: costo solo entrada","OK")))))))</x:f>
      </x:c>
    </x:row>
    <x:row r="125" ht="24" customHeight="1">
      <x:c r="A125" s="3"/>
      <x:c r="B125" s="25"/>
      <x:c r="C125" s="24"/>
      <x:c r="D125" s="3" t="str">
        <x:f>IF(AND(COUNTA(B125:C125)=0,COUNTA(E125:G125)=0,COUNTA(I125:J125)=0),"",IF(COUNTIFS('Inventario'!$B$14:$B$43,C125)=1,INDEX('Inventario'!$D$14:$D$43,MATCH(C125,'Inventario'!$B$14:$B$43,0)),"Revisar código"))</x:f>
      </x:c>
      <x:c r="E125" s="24"/>
      <x:c r="F125" s="41"/>
      <x:c r="G125" s="38"/>
      <x:c r="H125" s="16" t="str">
        <x:f>IF(AND(COUNTA(B125:C125)=0,COUNTA(E125:G125)=0,COUNTA(I125:J125)=0),"",IF(K125&lt;&gt;"OK","Revisar datos",IF(E125="Entrada",F125*G125,0)))</x:f>
      </x:c>
      <x:c r="I125" s="24"/>
      <x:c r="J125" s="24"/>
      <x:c r="K125" s="40" t="str">
        <x:f>IF(AND(COUNTA(B125:C125)=0,COUNTA(E125:G125)=0,COUNTA(I125:J125)=0),"",IF(NOT(AND(ISNUMBER(B125),B125&gt;0,B125=INT(B125))),"Revisar: fecha",IF(OR(COUNTIFS('Inventario'!$B$14:$B$43,C125)&lt;&gt;1,NOT(OR(D125="kg",D125="g",D125="l",D125="ml",D125="pza"))),"Revisar: código",IF(NOT(OR(E125="Entrada",E125="Salida",E125="Merma")),"Revisar: tipo",IF(NOT(AND(ISNUMBER(F125),F125&gt;0)),"Revisar: cantidad",IF(AND(E125="Entrada",NOT(AND(ISNUMBER(G125),G125&gt;=0))),"Revisar: costo de compra",IF(AND(E125&lt;&gt;"Entrada",G125&lt;&gt;""),"Revisar: costo solo entrada","OK")))))))</x:f>
      </x:c>
    </x:row>
    <x:row r="126" ht="24" customHeight="1">
      <x:c r="A126" s="3"/>
      <x:c r="B126" s="25"/>
      <x:c r="C126" s="24"/>
      <x:c r="D126" s="3" t="str">
        <x:f>IF(AND(COUNTA(B126:C126)=0,COUNTA(E126:G126)=0,COUNTA(I126:J126)=0),"",IF(COUNTIFS('Inventario'!$B$14:$B$43,C126)=1,INDEX('Inventario'!$D$14:$D$43,MATCH(C126,'Inventario'!$B$14:$B$43,0)),"Revisar código"))</x:f>
      </x:c>
      <x:c r="E126" s="24"/>
      <x:c r="F126" s="41"/>
      <x:c r="G126" s="38"/>
      <x:c r="H126" s="16" t="str">
        <x:f>IF(AND(COUNTA(B126:C126)=0,COUNTA(E126:G126)=0,COUNTA(I126:J126)=0),"",IF(K126&lt;&gt;"OK","Revisar datos",IF(E126="Entrada",F126*G126,0)))</x:f>
      </x:c>
      <x:c r="I126" s="24"/>
      <x:c r="J126" s="24"/>
      <x:c r="K126" s="40" t="str">
        <x:f>IF(AND(COUNTA(B126:C126)=0,COUNTA(E126:G126)=0,COUNTA(I126:J126)=0),"",IF(NOT(AND(ISNUMBER(B126),B126&gt;0,B126=INT(B126))),"Revisar: fecha",IF(OR(COUNTIFS('Inventario'!$B$14:$B$43,C126)&lt;&gt;1,NOT(OR(D126="kg",D126="g",D126="l",D126="ml",D126="pza"))),"Revisar: código",IF(NOT(OR(E126="Entrada",E126="Salida",E126="Merma")),"Revisar: tipo",IF(NOT(AND(ISNUMBER(F126),F126&gt;0)),"Revisar: cantidad",IF(AND(E126="Entrada",NOT(AND(ISNUMBER(G126),G126&gt;=0))),"Revisar: costo de compra",IF(AND(E126&lt;&gt;"Entrada",G126&lt;&gt;""),"Revisar: costo solo entrada","OK")))))))</x:f>
      </x:c>
    </x:row>
    <x:row r="127" ht="24" customHeight="1">
      <x:c r="A127" s="3"/>
      <x:c r="B127" s="25"/>
      <x:c r="C127" s="24"/>
      <x:c r="D127" s="3" t="str">
        <x:f>IF(AND(COUNTA(B127:C127)=0,COUNTA(E127:G127)=0,COUNTA(I127:J127)=0),"",IF(COUNTIFS('Inventario'!$B$14:$B$43,C127)=1,INDEX('Inventario'!$D$14:$D$43,MATCH(C127,'Inventario'!$B$14:$B$43,0)),"Revisar código"))</x:f>
      </x:c>
      <x:c r="E127" s="24"/>
      <x:c r="F127" s="41"/>
      <x:c r="G127" s="38"/>
      <x:c r="H127" s="16" t="str">
        <x:f>IF(AND(COUNTA(B127:C127)=0,COUNTA(E127:G127)=0,COUNTA(I127:J127)=0),"",IF(K127&lt;&gt;"OK","Revisar datos",IF(E127="Entrada",F127*G127,0)))</x:f>
      </x:c>
      <x:c r="I127" s="24"/>
      <x:c r="J127" s="24"/>
      <x:c r="K127" s="40" t="str">
        <x:f>IF(AND(COUNTA(B127:C127)=0,COUNTA(E127:G127)=0,COUNTA(I127:J127)=0),"",IF(NOT(AND(ISNUMBER(B127),B127&gt;0,B127=INT(B127))),"Revisar: fecha",IF(OR(COUNTIFS('Inventario'!$B$14:$B$43,C127)&lt;&gt;1,NOT(OR(D127="kg",D127="g",D127="l",D127="ml",D127="pza"))),"Revisar: código",IF(NOT(OR(E127="Entrada",E127="Salida",E127="Merma")),"Revisar: tipo",IF(NOT(AND(ISNUMBER(F127),F127&gt;0)),"Revisar: cantidad",IF(AND(E127="Entrada",NOT(AND(ISNUMBER(G127),G127&gt;=0))),"Revisar: costo de compra",IF(AND(E127&lt;&gt;"Entrada",G127&lt;&gt;""),"Revisar: costo solo entrada","OK")))))))</x:f>
      </x:c>
    </x:row>
    <x:row r="128" ht="24" customHeight="1">
      <x:c r="A128" s="3"/>
      <x:c r="B128" s="25"/>
      <x:c r="C128" s="24"/>
      <x:c r="D128" s="3" t="str">
        <x:f>IF(AND(COUNTA(B128:C128)=0,COUNTA(E128:G128)=0,COUNTA(I128:J128)=0),"",IF(COUNTIFS('Inventario'!$B$14:$B$43,C128)=1,INDEX('Inventario'!$D$14:$D$43,MATCH(C128,'Inventario'!$B$14:$B$43,0)),"Revisar código"))</x:f>
      </x:c>
      <x:c r="E128" s="24"/>
      <x:c r="F128" s="41"/>
      <x:c r="G128" s="38"/>
      <x:c r="H128" s="16" t="str">
        <x:f>IF(AND(COUNTA(B128:C128)=0,COUNTA(E128:G128)=0,COUNTA(I128:J128)=0),"",IF(K128&lt;&gt;"OK","Revisar datos",IF(E128="Entrada",F128*G128,0)))</x:f>
      </x:c>
      <x:c r="I128" s="24"/>
      <x:c r="J128" s="24"/>
      <x:c r="K128" s="40" t="str">
        <x:f>IF(AND(COUNTA(B128:C128)=0,COUNTA(E128:G128)=0,COUNTA(I128:J128)=0),"",IF(NOT(AND(ISNUMBER(B128),B128&gt;0,B128=INT(B128))),"Revisar: fecha",IF(OR(COUNTIFS('Inventario'!$B$14:$B$43,C128)&lt;&gt;1,NOT(OR(D128="kg",D128="g",D128="l",D128="ml",D128="pza"))),"Revisar: código",IF(NOT(OR(E128="Entrada",E128="Salida",E128="Merma")),"Revisar: tipo",IF(NOT(AND(ISNUMBER(F128),F128&gt;0)),"Revisar: cantidad",IF(AND(E128="Entrada",NOT(AND(ISNUMBER(G128),G128&gt;=0))),"Revisar: costo de compra",IF(AND(E128&lt;&gt;"Entrada",G128&lt;&gt;""),"Revisar: costo solo entrada","OK")))))))</x:f>
      </x:c>
    </x:row>
    <x:row r="129" ht="24" customHeight="1">
      <x:c r="A129" s="3"/>
      <x:c r="B129" s="25"/>
      <x:c r="C129" s="24"/>
      <x:c r="D129" s="3" t="str">
        <x:f>IF(AND(COUNTA(B129:C129)=0,COUNTA(E129:G129)=0,COUNTA(I129:J129)=0),"",IF(COUNTIFS('Inventario'!$B$14:$B$43,C129)=1,INDEX('Inventario'!$D$14:$D$43,MATCH(C129,'Inventario'!$B$14:$B$43,0)),"Revisar código"))</x:f>
      </x:c>
      <x:c r="E129" s="24"/>
      <x:c r="F129" s="41"/>
      <x:c r="G129" s="38"/>
      <x:c r="H129" s="16" t="str">
        <x:f>IF(AND(COUNTA(B129:C129)=0,COUNTA(E129:G129)=0,COUNTA(I129:J129)=0),"",IF(K129&lt;&gt;"OK","Revisar datos",IF(E129="Entrada",F129*G129,0)))</x:f>
      </x:c>
      <x:c r="I129" s="24"/>
      <x:c r="J129" s="24"/>
      <x:c r="K129" s="40" t="str">
        <x:f>IF(AND(COUNTA(B129:C129)=0,COUNTA(E129:G129)=0,COUNTA(I129:J129)=0),"",IF(NOT(AND(ISNUMBER(B129),B129&gt;0,B129=INT(B129))),"Revisar: fecha",IF(OR(COUNTIFS('Inventario'!$B$14:$B$43,C129)&lt;&gt;1,NOT(OR(D129="kg",D129="g",D129="l",D129="ml",D129="pza"))),"Revisar: código",IF(NOT(OR(E129="Entrada",E129="Salida",E129="Merma")),"Revisar: tipo",IF(NOT(AND(ISNUMBER(F129),F129&gt;0)),"Revisar: cantidad",IF(AND(E129="Entrada",NOT(AND(ISNUMBER(G129),G129&gt;=0))),"Revisar: costo de compra",IF(AND(E129&lt;&gt;"Entrada",G129&lt;&gt;""),"Revisar: costo solo entrada","OK")))))))</x:f>
      </x:c>
    </x:row>
    <x:row r="130" ht="24" customHeight="1">
      <x:c r="A130" s="3"/>
      <x:c r="B130" s="25"/>
      <x:c r="C130" s="24"/>
      <x:c r="D130" s="3" t="str">
        <x:f>IF(AND(COUNTA(B130:C130)=0,COUNTA(E130:G130)=0,COUNTA(I130:J130)=0),"",IF(COUNTIFS('Inventario'!$B$14:$B$43,C130)=1,INDEX('Inventario'!$D$14:$D$43,MATCH(C130,'Inventario'!$B$14:$B$43,0)),"Revisar código"))</x:f>
      </x:c>
      <x:c r="E130" s="24"/>
      <x:c r="F130" s="41"/>
      <x:c r="G130" s="38"/>
      <x:c r="H130" s="16" t="str">
        <x:f>IF(AND(COUNTA(B130:C130)=0,COUNTA(E130:G130)=0,COUNTA(I130:J130)=0),"",IF(K130&lt;&gt;"OK","Revisar datos",IF(E130="Entrada",F130*G130,0)))</x:f>
      </x:c>
      <x:c r="I130" s="24"/>
      <x:c r="J130" s="24"/>
      <x:c r="K130" s="40" t="str">
        <x:f>IF(AND(COUNTA(B130:C130)=0,COUNTA(E130:G130)=0,COUNTA(I130:J130)=0),"",IF(NOT(AND(ISNUMBER(B130),B130&gt;0,B130=INT(B130))),"Revisar: fecha",IF(OR(COUNTIFS('Inventario'!$B$14:$B$43,C130)&lt;&gt;1,NOT(OR(D130="kg",D130="g",D130="l",D130="ml",D130="pza"))),"Revisar: código",IF(NOT(OR(E130="Entrada",E130="Salida",E130="Merma")),"Revisar: tipo",IF(NOT(AND(ISNUMBER(F130),F130&gt;0)),"Revisar: cantidad",IF(AND(E130="Entrada",NOT(AND(ISNUMBER(G130),G130&gt;=0))),"Revisar: costo de compra",IF(AND(E130&lt;&gt;"Entrada",G130&lt;&gt;""),"Revisar: costo solo entrada","OK")))))))</x:f>
      </x:c>
    </x:row>
    <x:row r="131" ht="24" customHeight="1">
      <x:c r="A131" s="3"/>
      <x:c r="B131" s="25"/>
      <x:c r="C131" s="24"/>
      <x:c r="D131" s="3" t="str">
        <x:f>IF(AND(COUNTA(B131:C131)=0,COUNTA(E131:G131)=0,COUNTA(I131:J131)=0),"",IF(COUNTIFS('Inventario'!$B$14:$B$43,C131)=1,INDEX('Inventario'!$D$14:$D$43,MATCH(C131,'Inventario'!$B$14:$B$43,0)),"Revisar código"))</x:f>
      </x:c>
      <x:c r="E131" s="24"/>
      <x:c r="F131" s="41"/>
      <x:c r="G131" s="38"/>
      <x:c r="H131" s="16" t="str">
        <x:f>IF(AND(COUNTA(B131:C131)=0,COUNTA(E131:G131)=0,COUNTA(I131:J131)=0),"",IF(K131&lt;&gt;"OK","Revisar datos",IF(E131="Entrada",F131*G131,0)))</x:f>
      </x:c>
      <x:c r="I131" s="24"/>
      <x:c r="J131" s="24"/>
      <x:c r="K131" s="40" t="str">
        <x:f>IF(AND(COUNTA(B131:C131)=0,COUNTA(E131:G131)=0,COUNTA(I131:J131)=0),"",IF(NOT(AND(ISNUMBER(B131),B131&gt;0,B131=INT(B131))),"Revisar: fecha",IF(OR(COUNTIFS('Inventario'!$B$14:$B$43,C131)&lt;&gt;1,NOT(OR(D131="kg",D131="g",D131="l",D131="ml",D131="pza"))),"Revisar: código",IF(NOT(OR(E131="Entrada",E131="Salida",E131="Merma")),"Revisar: tipo",IF(NOT(AND(ISNUMBER(F131),F131&gt;0)),"Revisar: cantidad",IF(AND(E131="Entrada",NOT(AND(ISNUMBER(G131),G131&gt;=0))),"Revisar: costo de compra",IF(AND(E131&lt;&gt;"Entrada",G131&lt;&gt;""),"Revisar: costo solo entrada","OK")))))))</x:f>
      </x:c>
    </x:row>
    <x:row r="132" ht="24" customHeight="1">
      <x:c r="A132" s="3"/>
      <x:c r="B132" s="25"/>
      <x:c r="C132" s="24"/>
      <x:c r="D132" s="3" t="str">
        <x:f>IF(AND(COUNTA(B132:C132)=0,COUNTA(E132:G132)=0,COUNTA(I132:J132)=0),"",IF(COUNTIFS('Inventario'!$B$14:$B$43,C132)=1,INDEX('Inventario'!$D$14:$D$43,MATCH(C132,'Inventario'!$B$14:$B$43,0)),"Revisar código"))</x:f>
      </x:c>
      <x:c r="E132" s="24"/>
      <x:c r="F132" s="41"/>
      <x:c r="G132" s="38"/>
      <x:c r="H132" s="16" t="str">
        <x:f>IF(AND(COUNTA(B132:C132)=0,COUNTA(E132:G132)=0,COUNTA(I132:J132)=0),"",IF(K132&lt;&gt;"OK","Revisar datos",IF(E132="Entrada",F132*G132,0)))</x:f>
      </x:c>
      <x:c r="I132" s="24"/>
      <x:c r="J132" s="24"/>
      <x:c r="K132" s="40" t="str">
        <x:f>IF(AND(COUNTA(B132:C132)=0,COUNTA(E132:G132)=0,COUNTA(I132:J132)=0),"",IF(NOT(AND(ISNUMBER(B132),B132&gt;0,B132=INT(B132))),"Revisar: fecha",IF(OR(COUNTIFS('Inventario'!$B$14:$B$43,C132)&lt;&gt;1,NOT(OR(D132="kg",D132="g",D132="l",D132="ml",D132="pza"))),"Revisar: código",IF(NOT(OR(E132="Entrada",E132="Salida",E132="Merma")),"Revisar: tipo",IF(NOT(AND(ISNUMBER(F132),F132&gt;0)),"Revisar: cantidad",IF(AND(E132="Entrada",NOT(AND(ISNUMBER(G132),G132&gt;=0))),"Revisar: costo de compra",IF(AND(E132&lt;&gt;"Entrada",G132&lt;&gt;""),"Revisar: costo solo entrada","OK")))))))</x:f>
      </x:c>
    </x:row>
    <x:row r="133" ht="24" customHeight="1">
      <x:c r="A133" s="3"/>
      <x:c r="B133" s="25"/>
      <x:c r="C133" s="24"/>
      <x:c r="D133" s="3" t="str">
        <x:f>IF(AND(COUNTA(B133:C133)=0,COUNTA(E133:G133)=0,COUNTA(I133:J133)=0),"",IF(COUNTIFS('Inventario'!$B$14:$B$43,C133)=1,INDEX('Inventario'!$D$14:$D$43,MATCH(C133,'Inventario'!$B$14:$B$43,0)),"Revisar código"))</x:f>
      </x:c>
      <x:c r="E133" s="24"/>
      <x:c r="F133" s="41"/>
      <x:c r="G133" s="38"/>
      <x:c r="H133" s="16" t="str">
        <x:f>IF(AND(COUNTA(B133:C133)=0,COUNTA(E133:G133)=0,COUNTA(I133:J133)=0),"",IF(K133&lt;&gt;"OK","Revisar datos",IF(E133="Entrada",F133*G133,0)))</x:f>
      </x:c>
      <x:c r="I133" s="24"/>
      <x:c r="J133" s="24"/>
      <x:c r="K133" s="40" t="str">
        <x:f>IF(AND(COUNTA(B133:C133)=0,COUNTA(E133:G133)=0,COUNTA(I133:J133)=0),"",IF(NOT(AND(ISNUMBER(B133),B133&gt;0,B133=INT(B133))),"Revisar: fecha",IF(OR(COUNTIFS('Inventario'!$B$14:$B$43,C133)&lt;&gt;1,NOT(OR(D133="kg",D133="g",D133="l",D133="ml",D133="pza"))),"Revisar: código",IF(NOT(OR(E133="Entrada",E133="Salida",E133="Merma")),"Revisar: tipo",IF(NOT(AND(ISNUMBER(F133),F133&gt;0)),"Revisar: cantidad",IF(AND(E133="Entrada",NOT(AND(ISNUMBER(G133),G133&gt;=0))),"Revisar: costo de compra",IF(AND(E133&lt;&gt;"Entrada",G133&lt;&gt;""),"Revisar: costo solo entrada","OK")))))))</x:f>
      </x:c>
    </x:row>
    <x:row r="134" ht="24" customHeight="1">
      <x:c r="A134" s="3"/>
      <x:c r="B134" s="25"/>
      <x:c r="C134" s="24"/>
      <x:c r="D134" s="3" t="str">
        <x:f>IF(AND(COUNTA(B134:C134)=0,COUNTA(E134:G134)=0,COUNTA(I134:J134)=0),"",IF(COUNTIFS('Inventario'!$B$14:$B$43,C134)=1,INDEX('Inventario'!$D$14:$D$43,MATCH(C134,'Inventario'!$B$14:$B$43,0)),"Revisar código"))</x:f>
      </x:c>
      <x:c r="E134" s="24"/>
      <x:c r="F134" s="41"/>
      <x:c r="G134" s="38"/>
      <x:c r="H134" s="16" t="str">
        <x:f>IF(AND(COUNTA(B134:C134)=0,COUNTA(E134:G134)=0,COUNTA(I134:J134)=0),"",IF(K134&lt;&gt;"OK","Revisar datos",IF(E134="Entrada",F134*G134,0)))</x:f>
      </x:c>
      <x:c r="I134" s="24"/>
      <x:c r="J134" s="24"/>
      <x:c r="K134" s="40" t="str">
        <x:f>IF(AND(COUNTA(B134:C134)=0,COUNTA(E134:G134)=0,COUNTA(I134:J134)=0),"",IF(NOT(AND(ISNUMBER(B134),B134&gt;0,B134=INT(B134))),"Revisar: fecha",IF(OR(COUNTIFS('Inventario'!$B$14:$B$43,C134)&lt;&gt;1,NOT(OR(D134="kg",D134="g",D134="l",D134="ml",D134="pza"))),"Revisar: código",IF(NOT(OR(E134="Entrada",E134="Salida",E134="Merma")),"Revisar: tipo",IF(NOT(AND(ISNUMBER(F134),F134&gt;0)),"Revisar: cantidad",IF(AND(E134="Entrada",NOT(AND(ISNUMBER(G134),G134&gt;=0))),"Revisar: costo de compra",IF(AND(E134&lt;&gt;"Entrada",G134&lt;&gt;""),"Revisar: costo solo entrada","OK")))))))</x:f>
      </x:c>
    </x:row>
    <x:row r="135" ht="24" customHeight="1">
      <x:c r="A135" s="3"/>
      <x:c r="B135" s="25"/>
      <x:c r="C135" s="24"/>
      <x:c r="D135" s="3" t="str">
        <x:f>IF(AND(COUNTA(B135:C135)=0,COUNTA(E135:G135)=0,COUNTA(I135:J135)=0),"",IF(COUNTIFS('Inventario'!$B$14:$B$43,C135)=1,INDEX('Inventario'!$D$14:$D$43,MATCH(C135,'Inventario'!$B$14:$B$43,0)),"Revisar código"))</x:f>
      </x:c>
      <x:c r="E135" s="24"/>
      <x:c r="F135" s="41"/>
      <x:c r="G135" s="38"/>
      <x:c r="H135" s="16" t="str">
        <x:f>IF(AND(COUNTA(B135:C135)=0,COUNTA(E135:G135)=0,COUNTA(I135:J135)=0),"",IF(K135&lt;&gt;"OK","Revisar datos",IF(E135="Entrada",F135*G135,0)))</x:f>
      </x:c>
      <x:c r="I135" s="24"/>
      <x:c r="J135" s="24"/>
      <x:c r="K135" s="40" t="str">
        <x:f>IF(AND(COUNTA(B135:C135)=0,COUNTA(E135:G135)=0,COUNTA(I135:J135)=0),"",IF(NOT(AND(ISNUMBER(B135),B135&gt;0,B135=INT(B135))),"Revisar: fecha",IF(OR(COUNTIFS('Inventario'!$B$14:$B$43,C135)&lt;&gt;1,NOT(OR(D135="kg",D135="g",D135="l",D135="ml",D135="pza"))),"Revisar: código",IF(NOT(OR(E135="Entrada",E135="Salida",E135="Merma")),"Revisar: tipo",IF(NOT(AND(ISNUMBER(F135),F135&gt;0)),"Revisar: cantidad",IF(AND(E135="Entrada",NOT(AND(ISNUMBER(G135),G135&gt;=0))),"Revisar: costo de compra",IF(AND(E135&lt;&gt;"Entrada",G135&lt;&gt;""),"Revisar: costo solo entrada","OK")))))))</x:f>
      </x:c>
    </x:row>
    <x:row r="136" ht="24" customHeight="1">
      <x:c r="A136" s="3"/>
      <x:c r="B136" s="25"/>
      <x:c r="C136" s="24"/>
      <x:c r="D136" s="3" t="str">
        <x:f>IF(AND(COUNTA(B136:C136)=0,COUNTA(E136:G136)=0,COUNTA(I136:J136)=0),"",IF(COUNTIFS('Inventario'!$B$14:$B$43,C136)=1,INDEX('Inventario'!$D$14:$D$43,MATCH(C136,'Inventario'!$B$14:$B$43,0)),"Revisar código"))</x:f>
      </x:c>
      <x:c r="E136" s="24"/>
      <x:c r="F136" s="41"/>
      <x:c r="G136" s="38"/>
      <x:c r="H136" s="16" t="str">
        <x:f>IF(AND(COUNTA(B136:C136)=0,COUNTA(E136:G136)=0,COUNTA(I136:J136)=0),"",IF(K136&lt;&gt;"OK","Revisar datos",IF(E136="Entrada",F136*G136,0)))</x:f>
      </x:c>
      <x:c r="I136" s="24"/>
      <x:c r="J136" s="24"/>
      <x:c r="K136" s="40" t="str">
        <x:f>IF(AND(COUNTA(B136:C136)=0,COUNTA(E136:G136)=0,COUNTA(I136:J136)=0),"",IF(NOT(AND(ISNUMBER(B136),B136&gt;0,B136=INT(B136))),"Revisar: fecha",IF(OR(COUNTIFS('Inventario'!$B$14:$B$43,C136)&lt;&gt;1,NOT(OR(D136="kg",D136="g",D136="l",D136="ml",D136="pza"))),"Revisar: código",IF(NOT(OR(E136="Entrada",E136="Salida",E136="Merma")),"Revisar: tipo",IF(NOT(AND(ISNUMBER(F136),F136&gt;0)),"Revisar: cantidad",IF(AND(E136="Entrada",NOT(AND(ISNUMBER(G136),G136&gt;=0))),"Revisar: costo de compra",IF(AND(E136&lt;&gt;"Entrada",G136&lt;&gt;""),"Revisar: costo solo entrada","OK")))))))</x:f>
      </x:c>
    </x:row>
    <x:row r="137" ht="24" customHeight="1">
      <x:c r="A137" s="3"/>
      <x:c r="B137" s="25"/>
      <x:c r="C137" s="24"/>
      <x:c r="D137" s="3" t="str">
        <x:f>IF(AND(COUNTA(B137:C137)=0,COUNTA(E137:G137)=0,COUNTA(I137:J137)=0),"",IF(COUNTIFS('Inventario'!$B$14:$B$43,C137)=1,INDEX('Inventario'!$D$14:$D$43,MATCH(C137,'Inventario'!$B$14:$B$43,0)),"Revisar código"))</x:f>
      </x:c>
      <x:c r="E137" s="24"/>
      <x:c r="F137" s="41"/>
      <x:c r="G137" s="38"/>
      <x:c r="H137" s="16" t="str">
        <x:f>IF(AND(COUNTA(B137:C137)=0,COUNTA(E137:G137)=0,COUNTA(I137:J137)=0),"",IF(K137&lt;&gt;"OK","Revisar datos",IF(E137="Entrada",F137*G137,0)))</x:f>
      </x:c>
      <x:c r="I137" s="24"/>
      <x:c r="J137" s="24"/>
      <x:c r="K137" s="40" t="str">
        <x:f>IF(AND(COUNTA(B137:C137)=0,COUNTA(E137:G137)=0,COUNTA(I137:J137)=0),"",IF(NOT(AND(ISNUMBER(B137),B137&gt;0,B137=INT(B137))),"Revisar: fecha",IF(OR(COUNTIFS('Inventario'!$B$14:$B$43,C137)&lt;&gt;1,NOT(OR(D137="kg",D137="g",D137="l",D137="ml",D137="pza"))),"Revisar: código",IF(NOT(OR(E137="Entrada",E137="Salida",E137="Merma")),"Revisar: tipo",IF(NOT(AND(ISNUMBER(F137),F137&gt;0)),"Revisar: cantidad",IF(AND(E137="Entrada",NOT(AND(ISNUMBER(G137),G137&gt;=0))),"Revisar: costo de compra",IF(AND(E137&lt;&gt;"Entrada",G137&lt;&gt;""),"Revisar: costo solo entrada","OK")))))))</x:f>
      </x:c>
    </x:row>
    <x:row r="138" ht="24" customHeight="1">
      <x:c r="A138" s="3"/>
      <x:c r="B138" s="25"/>
      <x:c r="C138" s="24"/>
      <x:c r="D138" s="3" t="str">
        <x:f>IF(AND(COUNTA(B138:C138)=0,COUNTA(E138:G138)=0,COUNTA(I138:J138)=0),"",IF(COUNTIFS('Inventario'!$B$14:$B$43,C138)=1,INDEX('Inventario'!$D$14:$D$43,MATCH(C138,'Inventario'!$B$14:$B$43,0)),"Revisar código"))</x:f>
      </x:c>
      <x:c r="E138" s="24"/>
      <x:c r="F138" s="41"/>
      <x:c r="G138" s="38"/>
      <x:c r="H138" s="16" t="str">
        <x:f>IF(AND(COUNTA(B138:C138)=0,COUNTA(E138:G138)=0,COUNTA(I138:J138)=0),"",IF(K138&lt;&gt;"OK","Revisar datos",IF(E138="Entrada",F138*G138,0)))</x:f>
      </x:c>
      <x:c r="I138" s="24"/>
      <x:c r="J138" s="24"/>
      <x:c r="K138" s="40" t="str">
        <x:f>IF(AND(COUNTA(B138:C138)=0,COUNTA(E138:G138)=0,COUNTA(I138:J138)=0),"",IF(NOT(AND(ISNUMBER(B138),B138&gt;0,B138=INT(B138))),"Revisar: fecha",IF(OR(COUNTIFS('Inventario'!$B$14:$B$43,C138)&lt;&gt;1,NOT(OR(D138="kg",D138="g",D138="l",D138="ml",D138="pza"))),"Revisar: código",IF(NOT(OR(E138="Entrada",E138="Salida",E138="Merma")),"Revisar: tipo",IF(NOT(AND(ISNUMBER(F138),F138&gt;0)),"Revisar: cantidad",IF(AND(E138="Entrada",NOT(AND(ISNUMBER(G138),G138&gt;=0))),"Revisar: costo de compra",IF(AND(E138&lt;&gt;"Entrada",G138&lt;&gt;""),"Revisar: costo solo entrada","OK")))))))</x:f>
      </x:c>
    </x:row>
    <x:row r="139" ht="24" customHeight="1">
      <x:c r="A139" s="3"/>
      <x:c r="B139" s="25"/>
      <x:c r="C139" s="24"/>
      <x:c r="D139" s="3" t="str">
        <x:f>IF(AND(COUNTA(B139:C139)=0,COUNTA(E139:G139)=0,COUNTA(I139:J139)=0),"",IF(COUNTIFS('Inventario'!$B$14:$B$43,C139)=1,INDEX('Inventario'!$D$14:$D$43,MATCH(C139,'Inventario'!$B$14:$B$43,0)),"Revisar código"))</x:f>
      </x:c>
      <x:c r="E139" s="24"/>
      <x:c r="F139" s="41"/>
      <x:c r="G139" s="38"/>
      <x:c r="H139" s="16" t="str">
        <x:f>IF(AND(COUNTA(B139:C139)=0,COUNTA(E139:G139)=0,COUNTA(I139:J139)=0),"",IF(K139&lt;&gt;"OK","Revisar datos",IF(E139="Entrada",F139*G139,0)))</x:f>
      </x:c>
      <x:c r="I139" s="24"/>
      <x:c r="J139" s="24"/>
      <x:c r="K139" s="40" t="str">
        <x:f>IF(AND(COUNTA(B139:C139)=0,COUNTA(E139:G139)=0,COUNTA(I139:J139)=0),"",IF(NOT(AND(ISNUMBER(B139),B139&gt;0,B139=INT(B139))),"Revisar: fecha",IF(OR(COUNTIFS('Inventario'!$B$14:$B$43,C139)&lt;&gt;1,NOT(OR(D139="kg",D139="g",D139="l",D139="ml",D139="pza"))),"Revisar: código",IF(NOT(OR(E139="Entrada",E139="Salida",E139="Merma")),"Revisar: tipo",IF(NOT(AND(ISNUMBER(F139),F139&gt;0)),"Revisar: cantidad",IF(AND(E139="Entrada",NOT(AND(ISNUMBER(G139),G139&gt;=0))),"Revisar: costo de compra",IF(AND(E139&lt;&gt;"Entrada",G139&lt;&gt;""),"Revisar: costo solo entrada","OK")))))))</x:f>
      </x:c>
    </x:row>
    <x:row r="140" ht="24" customHeight="1">
      <x:c r="A140" s="3"/>
      <x:c r="B140" s="25"/>
      <x:c r="C140" s="24"/>
      <x:c r="D140" s="3" t="str">
        <x:f>IF(AND(COUNTA(B140:C140)=0,COUNTA(E140:G140)=0,COUNTA(I140:J140)=0),"",IF(COUNTIFS('Inventario'!$B$14:$B$43,C140)=1,INDEX('Inventario'!$D$14:$D$43,MATCH(C140,'Inventario'!$B$14:$B$43,0)),"Revisar código"))</x:f>
      </x:c>
      <x:c r="E140" s="24"/>
      <x:c r="F140" s="41"/>
      <x:c r="G140" s="38"/>
      <x:c r="H140" s="16" t="str">
        <x:f>IF(AND(COUNTA(B140:C140)=0,COUNTA(E140:G140)=0,COUNTA(I140:J140)=0),"",IF(K140&lt;&gt;"OK","Revisar datos",IF(E140="Entrada",F140*G140,0)))</x:f>
      </x:c>
      <x:c r="I140" s="24"/>
      <x:c r="J140" s="24"/>
      <x:c r="K140" s="40" t="str">
        <x:f>IF(AND(COUNTA(B140:C140)=0,COUNTA(E140:G140)=0,COUNTA(I140:J140)=0),"",IF(NOT(AND(ISNUMBER(B140),B140&gt;0,B140=INT(B140))),"Revisar: fecha",IF(OR(COUNTIFS('Inventario'!$B$14:$B$43,C140)&lt;&gt;1,NOT(OR(D140="kg",D140="g",D140="l",D140="ml",D140="pza"))),"Revisar: código",IF(NOT(OR(E140="Entrada",E140="Salida",E140="Merma")),"Revisar: tipo",IF(NOT(AND(ISNUMBER(F140),F140&gt;0)),"Revisar: cantidad",IF(AND(E140="Entrada",NOT(AND(ISNUMBER(G140),G140&gt;=0))),"Revisar: costo de compra",IF(AND(E140&lt;&gt;"Entrada",G140&lt;&gt;""),"Revisar: costo solo entrada","OK")))))))</x:f>
      </x:c>
    </x:row>
    <x:row r="141" ht="24" customHeight="1">
      <x:c r="A141" s="3"/>
      <x:c r="B141" s="25"/>
      <x:c r="C141" s="24"/>
      <x:c r="D141" s="3" t="str">
        <x:f>IF(AND(COUNTA(B141:C141)=0,COUNTA(E141:G141)=0,COUNTA(I141:J141)=0),"",IF(COUNTIFS('Inventario'!$B$14:$B$43,C141)=1,INDEX('Inventario'!$D$14:$D$43,MATCH(C141,'Inventario'!$B$14:$B$43,0)),"Revisar código"))</x:f>
      </x:c>
      <x:c r="E141" s="24"/>
      <x:c r="F141" s="41"/>
      <x:c r="G141" s="38"/>
      <x:c r="H141" s="16" t="str">
        <x:f>IF(AND(COUNTA(B141:C141)=0,COUNTA(E141:G141)=0,COUNTA(I141:J141)=0),"",IF(K141&lt;&gt;"OK","Revisar datos",IF(E141="Entrada",F141*G141,0)))</x:f>
      </x:c>
      <x:c r="I141" s="24"/>
      <x:c r="J141" s="24"/>
      <x:c r="K141" s="40" t="str">
        <x:f>IF(AND(COUNTA(B141:C141)=0,COUNTA(E141:G141)=0,COUNTA(I141:J141)=0),"",IF(NOT(AND(ISNUMBER(B141),B141&gt;0,B141=INT(B141))),"Revisar: fecha",IF(OR(COUNTIFS('Inventario'!$B$14:$B$43,C141)&lt;&gt;1,NOT(OR(D141="kg",D141="g",D141="l",D141="ml",D141="pza"))),"Revisar: código",IF(NOT(OR(E141="Entrada",E141="Salida",E141="Merma")),"Revisar: tipo",IF(NOT(AND(ISNUMBER(F141),F141&gt;0)),"Revisar: cantidad",IF(AND(E141="Entrada",NOT(AND(ISNUMBER(G141),G141&gt;=0))),"Revisar: costo de compra",IF(AND(E141&lt;&gt;"Entrada",G141&lt;&gt;""),"Revisar: costo solo entrada","OK")))))))</x:f>
      </x:c>
    </x:row>
    <x:row r="142" ht="24" customHeight="1">
      <x:c r="A142" s="3"/>
      <x:c r="B142" s="25"/>
      <x:c r="C142" s="24"/>
      <x:c r="D142" s="3" t="str">
        <x:f>IF(AND(COUNTA(B142:C142)=0,COUNTA(E142:G142)=0,COUNTA(I142:J142)=0),"",IF(COUNTIFS('Inventario'!$B$14:$B$43,C142)=1,INDEX('Inventario'!$D$14:$D$43,MATCH(C142,'Inventario'!$B$14:$B$43,0)),"Revisar código"))</x:f>
      </x:c>
      <x:c r="E142" s="24"/>
      <x:c r="F142" s="41"/>
      <x:c r="G142" s="38"/>
      <x:c r="H142" s="16" t="str">
        <x:f>IF(AND(COUNTA(B142:C142)=0,COUNTA(E142:G142)=0,COUNTA(I142:J142)=0),"",IF(K142&lt;&gt;"OK","Revisar datos",IF(E142="Entrada",F142*G142,0)))</x:f>
      </x:c>
      <x:c r="I142" s="24"/>
      <x:c r="J142" s="24"/>
      <x:c r="K142" s="40" t="str">
        <x:f>IF(AND(COUNTA(B142:C142)=0,COUNTA(E142:G142)=0,COUNTA(I142:J142)=0),"",IF(NOT(AND(ISNUMBER(B142),B142&gt;0,B142=INT(B142))),"Revisar: fecha",IF(OR(COUNTIFS('Inventario'!$B$14:$B$43,C142)&lt;&gt;1,NOT(OR(D142="kg",D142="g",D142="l",D142="ml",D142="pza"))),"Revisar: código",IF(NOT(OR(E142="Entrada",E142="Salida",E142="Merma")),"Revisar: tipo",IF(NOT(AND(ISNUMBER(F142),F142&gt;0)),"Revisar: cantidad",IF(AND(E142="Entrada",NOT(AND(ISNUMBER(G142),G142&gt;=0))),"Revisar: costo de compra",IF(AND(E142&lt;&gt;"Entrada",G142&lt;&gt;""),"Revisar: costo solo entrada","OK")))))))</x:f>
      </x:c>
    </x:row>
    <x:row r="143" ht="24" customHeight="1">
      <x:c r="A143" s="3"/>
      <x:c r="B143" s="25"/>
      <x:c r="C143" s="24"/>
      <x:c r="D143" s="3" t="str">
        <x:f>IF(AND(COUNTA(B143:C143)=0,COUNTA(E143:G143)=0,COUNTA(I143:J143)=0),"",IF(COUNTIFS('Inventario'!$B$14:$B$43,C143)=1,INDEX('Inventario'!$D$14:$D$43,MATCH(C143,'Inventario'!$B$14:$B$43,0)),"Revisar código"))</x:f>
      </x:c>
      <x:c r="E143" s="24"/>
      <x:c r="F143" s="41"/>
      <x:c r="G143" s="38"/>
      <x:c r="H143" s="16" t="str">
        <x:f>IF(AND(COUNTA(B143:C143)=0,COUNTA(E143:G143)=0,COUNTA(I143:J143)=0),"",IF(K143&lt;&gt;"OK","Revisar datos",IF(E143="Entrada",F143*G143,0)))</x:f>
      </x:c>
      <x:c r="I143" s="24"/>
      <x:c r="J143" s="24"/>
      <x:c r="K143" s="40" t="str">
        <x:f>IF(AND(COUNTA(B143:C143)=0,COUNTA(E143:G143)=0,COUNTA(I143:J143)=0),"",IF(NOT(AND(ISNUMBER(B143),B143&gt;0,B143=INT(B143))),"Revisar: fecha",IF(OR(COUNTIFS('Inventario'!$B$14:$B$43,C143)&lt;&gt;1,NOT(OR(D143="kg",D143="g",D143="l",D143="ml",D143="pza"))),"Revisar: código",IF(NOT(OR(E143="Entrada",E143="Salida",E143="Merma")),"Revisar: tipo",IF(NOT(AND(ISNUMBER(F143),F143&gt;0)),"Revisar: cantidad",IF(AND(E143="Entrada",NOT(AND(ISNUMBER(G143),G143&gt;=0))),"Revisar: costo de compra",IF(AND(E143&lt;&gt;"Entrada",G143&lt;&gt;""),"Revisar: costo solo entrada","OK")))))))</x:f>
      </x:c>
    </x:row>
    <x:row r="144" ht="24" customHeight="1">
      <x:c r="A144" s="3"/>
      <x:c r="B144" s="25"/>
      <x:c r="C144" s="24"/>
      <x:c r="D144" s="3" t="str">
        <x:f>IF(AND(COUNTA(B144:C144)=0,COUNTA(E144:G144)=0,COUNTA(I144:J144)=0),"",IF(COUNTIFS('Inventario'!$B$14:$B$43,C144)=1,INDEX('Inventario'!$D$14:$D$43,MATCH(C144,'Inventario'!$B$14:$B$43,0)),"Revisar código"))</x:f>
      </x:c>
      <x:c r="E144" s="24"/>
      <x:c r="F144" s="41"/>
      <x:c r="G144" s="38"/>
      <x:c r="H144" s="16" t="str">
        <x:f>IF(AND(COUNTA(B144:C144)=0,COUNTA(E144:G144)=0,COUNTA(I144:J144)=0),"",IF(K144&lt;&gt;"OK","Revisar datos",IF(E144="Entrada",F144*G144,0)))</x:f>
      </x:c>
      <x:c r="I144" s="24"/>
      <x:c r="J144" s="24"/>
      <x:c r="K144" s="40" t="str">
        <x:f>IF(AND(COUNTA(B144:C144)=0,COUNTA(E144:G144)=0,COUNTA(I144:J144)=0),"",IF(NOT(AND(ISNUMBER(B144),B144&gt;0,B144=INT(B144))),"Revisar: fecha",IF(OR(COUNTIFS('Inventario'!$B$14:$B$43,C144)&lt;&gt;1,NOT(OR(D144="kg",D144="g",D144="l",D144="ml",D144="pza"))),"Revisar: código",IF(NOT(OR(E144="Entrada",E144="Salida",E144="Merma")),"Revisar: tipo",IF(NOT(AND(ISNUMBER(F144),F144&gt;0)),"Revisar: cantidad",IF(AND(E144="Entrada",NOT(AND(ISNUMBER(G144),G144&gt;=0))),"Revisar: costo de compra",IF(AND(E144&lt;&gt;"Entrada",G144&lt;&gt;""),"Revisar: costo solo entrada","OK")))))))</x:f>
      </x:c>
    </x:row>
    <x:row r="145" ht="24" customHeight="1">
      <x:c r="A145" s="3"/>
      <x:c r="B145" s="25"/>
      <x:c r="C145" s="24"/>
      <x:c r="D145" s="3" t="str">
        <x:f>IF(AND(COUNTA(B145:C145)=0,COUNTA(E145:G145)=0,COUNTA(I145:J145)=0),"",IF(COUNTIFS('Inventario'!$B$14:$B$43,C145)=1,INDEX('Inventario'!$D$14:$D$43,MATCH(C145,'Inventario'!$B$14:$B$43,0)),"Revisar código"))</x:f>
      </x:c>
      <x:c r="E145" s="24"/>
      <x:c r="F145" s="41"/>
      <x:c r="G145" s="38"/>
      <x:c r="H145" s="16" t="str">
        <x:f>IF(AND(COUNTA(B145:C145)=0,COUNTA(E145:G145)=0,COUNTA(I145:J145)=0),"",IF(K145&lt;&gt;"OK","Revisar datos",IF(E145="Entrada",F145*G145,0)))</x:f>
      </x:c>
      <x:c r="I145" s="24"/>
      <x:c r="J145" s="24"/>
      <x:c r="K145" s="40" t="str">
        <x:f>IF(AND(COUNTA(B145:C145)=0,COUNTA(E145:G145)=0,COUNTA(I145:J145)=0),"",IF(NOT(AND(ISNUMBER(B145),B145&gt;0,B145=INT(B145))),"Revisar: fecha",IF(OR(COUNTIFS('Inventario'!$B$14:$B$43,C145)&lt;&gt;1,NOT(OR(D145="kg",D145="g",D145="l",D145="ml",D145="pza"))),"Revisar: código",IF(NOT(OR(E145="Entrada",E145="Salida",E145="Merma")),"Revisar: tipo",IF(NOT(AND(ISNUMBER(F145),F145&gt;0)),"Revisar: cantidad",IF(AND(E145="Entrada",NOT(AND(ISNUMBER(G145),G145&gt;=0))),"Revisar: costo de compra",IF(AND(E145&lt;&gt;"Entrada",G145&lt;&gt;""),"Revisar: costo solo entrada","OK")))))))</x:f>
      </x:c>
    </x:row>
    <x:row r="146" ht="24" customHeight="1">
      <x:c r="A146" s="3"/>
      <x:c r="B146" s="25"/>
      <x:c r="C146" s="24"/>
      <x:c r="D146" s="3" t="str">
        <x:f>IF(AND(COUNTA(B146:C146)=0,COUNTA(E146:G146)=0,COUNTA(I146:J146)=0),"",IF(COUNTIFS('Inventario'!$B$14:$B$43,C146)=1,INDEX('Inventario'!$D$14:$D$43,MATCH(C146,'Inventario'!$B$14:$B$43,0)),"Revisar código"))</x:f>
      </x:c>
      <x:c r="E146" s="24"/>
      <x:c r="F146" s="41"/>
      <x:c r="G146" s="38"/>
      <x:c r="H146" s="16" t="str">
        <x:f>IF(AND(COUNTA(B146:C146)=0,COUNTA(E146:G146)=0,COUNTA(I146:J146)=0),"",IF(K146&lt;&gt;"OK","Revisar datos",IF(E146="Entrada",F146*G146,0)))</x:f>
      </x:c>
      <x:c r="I146" s="24"/>
      <x:c r="J146" s="24"/>
      <x:c r="K146" s="40" t="str">
        <x:f>IF(AND(COUNTA(B146:C146)=0,COUNTA(E146:G146)=0,COUNTA(I146:J146)=0),"",IF(NOT(AND(ISNUMBER(B146),B146&gt;0,B146=INT(B146))),"Revisar: fecha",IF(OR(COUNTIFS('Inventario'!$B$14:$B$43,C146)&lt;&gt;1,NOT(OR(D146="kg",D146="g",D146="l",D146="ml",D146="pza"))),"Revisar: código",IF(NOT(OR(E146="Entrada",E146="Salida",E146="Merma")),"Revisar: tipo",IF(NOT(AND(ISNUMBER(F146),F146&gt;0)),"Revisar: cantidad",IF(AND(E146="Entrada",NOT(AND(ISNUMBER(G146),G146&gt;=0))),"Revisar: costo de compra",IF(AND(E146&lt;&gt;"Entrada",G146&lt;&gt;""),"Revisar: costo solo entrada","OK")))))))</x:f>
      </x:c>
    </x:row>
    <x:row r="147" ht="24" customHeight="1">
      <x:c r="A147" s="3"/>
      <x:c r="B147" s="25"/>
      <x:c r="C147" s="24"/>
      <x:c r="D147" s="3" t="str">
        <x:f>IF(AND(COUNTA(B147:C147)=0,COUNTA(E147:G147)=0,COUNTA(I147:J147)=0),"",IF(COUNTIFS('Inventario'!$B$14:$B$43,C147)=1,INDEX('Inventario'!$D$14:$D$43,MATCH(C147,'Inventario'!$B$14:$B$43,0)),"Revisar código"))</x:f>
      </x:c>
      <x:c r="E147" s="24"/>
      <x:c r="F147" s="41"/>
      <x:c r="G147" s="38"/>
      <x:c r="H147" s="16" t="str">
        <x:f>IF(AND(COUNTA(B147:C147)=0,COUNTA(E147:G147)=0,COUNTA(I147:J147)=0),"",IF(K147&lt;&gt;"OK","Revisar datos",IF(E147="Entrada",F147*G147,0)))</x:f>
      </x:c>
      <x:c r="I147" s="24"/>
      <x:c r="J147" s="24"/>
      <x:c r="K147" s="40" t="str">
        <x:f>IF(AND(COUNTA(B147:C147)=0,COUNTA(E147:G147)=0,COUNTA(I147:J147)=0),"",IF(NOT(AND(ISNUMBER(B147),B147&gt;0,B147=INT(B147))),"Revisar: fecha",IF(OR(COUNTIFS('Inventario'!$B$14:$B$43,C147)&lt;&gt;1,NOT(OR(D147="kg",D147="g",D147="l",D147="ml",D147="pza"))),"Revisar: código",IF(NOT(OR(E147="Entrada",E147="Salida",E147="Merma")),"Revisar: tipo",IF(NOT(AND(ISNUMBER(F147),F147&gt;0)),"Revisar: cantidad",IF(AND(E147="Entrada",NOT(AND(ISNUMBER(G147),G147&gt;=0))),"Revisar: costo de compra",IF(AND(E147&lt;&gt;"Entrada",G147&lt;&gt;""),"Revisar: costo solo entrada","OK")))))))</x:f>
      </x:c>
    </x:row>
    <x:row r="148" ht="24" customHeight="1">
      <x:c r="A148" s="3"/>
      <x:c r="B148" s="25"/>
      <x:c r="C148" s="24"/>
      <x:c r="D148" s="3" t="str">
        <x:f>IF(AND(COUNTA(B148:C148)=0,COUNTA(E148:G148)=0,COUNTA(I148:J148)=0),"",IF(COUNTIFS('Inventario'!$B$14:$B$43,C148)=1,INDEX('Inventario'!$D$14:$D$43,MATCH(C148,'Inventario'!$B$14:$B$43,0)),"Revisar código"))</x:f>
      </x:c>
      <x:c r="E148" s="24"/>
      <x:c r="F148" s="41"/>
      <x:c r="G148" s="38"/>
      <x:c r="H148" s="16" t="str">
        <x:f>IF(AND(COUNTA(B148:C148)=0,COUNTA(E148:G148)=0,COUNTA(I148:J148)=0),"",IF(K148&lt;&gt;"OK","Revisar datos",IF(E148="Entrada",F148*G148,0)))</x:f>
      </x:c>
      <x:c r="I148" s="24"/>
      <x:c r="J148" s="24"/>
      <x:c r="K148" s="40" t="str">
        <x:f>IF(AND(COUNTA(B148:C148)=0,COUNTA(E148:G148)=0,COUNTA(I148:J148)=0),"",IF(NOT(AND(ISNUMBER(B148),B148&gt;0,B148=INT(B148))),"Revisar: fecha",IF(OR(COUNTIFS('Inventario'!$B$14:$B$43,C148)&lt;&gt;1,NOT(OR(D148="kg",D148="g",D148="l",D148="ml",D148="pza"))),"Revisar: código",IF(NOT(OR(E148="Entrada",E148="Salida",E148="Merma")),"Revisar: tipo",IF(NOT(AND(ISNUMBER(F148),F148&gt;0)),"Revisar: cantidad",IF(AND(E148="Entrada",NOT(AND(ISNUMBER(G148),G148&gt;=0))),"Revisar: costo de compra",IF(AND(E148&lt;&gt;"Entrada",G148&lt;&gt;""),"Revisar: costo solo entrada","OK")))))))</x:f>
      </x:c>
    </x:row>
    <x:row r="149" ht="24" customHeight="1">
      <x:c r="A149" s="3"/>
      <x:c r="B149" s="25"/>
      <x:c r="C149" s="24"/>
      <x:c r="D149" s="3" t="str">
        <x:f>IF(AND(COUNTA(B149:C149)=0,COUNTA(E149:G149)=0,COUNTA(I149:J149)=0),"",IF(COUNTIFS('Inventario'!$B$14:$B$43,C149)=1,INDEX('Inventario'!$D$14:$D$43,MATCH(C149,'Inventario'!$B$14:$B$43,0)),"Revisar código"))</x:f>
      </x:c>
      <x:c r="E149" s="24"/>
      <x:c r="F149" s="41"/>
      <x:c r="G149" s="38"/>
      <x:c r="H149" s="16" t="str">
        <x:f>IF(AND(COUNTA(B149:C149)=0,COUNTA(E149:G149)=0,COUNTA(I149:J149)=0),"",IF(K149&lt;&gt;"OK","Revisar datos",IF(E149="Entrada",F149*G149,0)))</x:f>
      </x:c>
      <x:c r="I149" s="24"/>
      <x:c r="J149" s="24"/>
      <x:c r="K149" s="40" t="str">
        <x:f>IF(AND(COUNTA(B149:C149)=0,COUNTA(E149:G149)=0,COUNTA(I149:J149)=0),"",IF(NOT(AND(ISNUMBER(B149),B149&gt;0,B149=INT(B149))),"Revisar: fecha",IF(OR(COUNTIFS('Inventario'!$B$14:$B$43,C149)&lt;&gt;1,NOT(OR(D149="kg",D149="g",D149="l",D149="ml",D149="pza"))),"Revisar: código",IF(NOT(OR(E149="Entrada",E149="Salida",E149="Merma")),"Revisar: tipo",IF(NOT(AND(ISNUMBER(F149),F149&gt;0)),"Revisar: cantidad",IF(AND(E149="Entrada",NOT(AND(ISNUMBER(G149),G149&gt;=0))),"Revisar: costo de compra",IF(AND(E149&lt;&gt;"Entrada",G149&lt;&gt;""),"Revisar: costo solo entrada","OK")))))))</x:f>
      </x:c>
    </x:row>
    <x:row r="150" ht="24" customHeight="1">
      <x:c r="A150" s="3"/>
      <x:c r="B150" s="25"/>
      <x:c r="C150" s="24"/>
      <x:c r="D150" s="3" t="str">
        <x:f>IF(AND(COUNTA(B150:C150)=0,COUNTA(E150:G150)=0,COUNTA(I150:J150)=0),"",IF(COUNTIFS('Inventario'!$B$14:$B$43,C150)=1,INDEX('Inventario'!$D$14:$D$43,MATCH(C150,'Inventario'!$B$14:$B$43,0)),"Revisar código"))</x:f>
      </x:c>
      <x:c r="E150" s="24"/>
      <x:c r="F150" s="41"/>
      <x:c r="G150" s="38"/>
      <x:c r="H150" s="16" t="str">
        <x:f>IF(AND(COUNTA(B150:C150)=0,COUNTA(E150:G150)=0,COUNTA(I150:J150)=0),"",IF(K150&lt;&gt;"OK","Revisar datos",IF(E150="Entrada",F150*G150,0)))</x:f>
      </x:c>
      <x:c r="I150" s="24"/>
      <x:c r="J150" s="24"/>
      <x:c r="K150" s="40" t="str">
        <x:f>IF(AND(COUNTA(B150:C150)=0,COUNTA(E150:G150)=0,COUNTA(I150:J150)=0),"",IF(NOT(AND(ISNUMBER(B150),B150&gt;0,B150=INT(B150))),"Revisar: fecha",IF(OR(COUNTIFS('Inventario'!$B$14:$B$43,C150)&lt;&gt;1,NOT(OR(D150="kg",D150="g",D150="l",D150="ml",D150="pza"))),"Revisar: código",IF(NOT(OR(E150="Entrada",E150="Salida",E150="Merma")),"Revisar: tipo",IF(NOT(AND(ISNUMBER(F150),F150&gt;0)),"Revisar: cantidad",IF(AND(E150="Entrada",NOT(AND(ISNUMBER(G150),G150&gt;=0))),"Revisar: costo de compra",IF(AND(E150&lt;&gt;"Entrada",G150&lt;&gt;""),"Revisar: costo solo entrada","OK")))))))</x:f>
      </x:c>
    </x:row>
    <x:row r="151" ht="24" customHeight="1">
      <x:c r="A151" s="3"/>
      <x:c r="B151" s="25"/>
      <x:c r="C151" s="24"/>
      <x:c r="D151" s="3" t="str">
        <x:f>IF(AND(COUNTA(B151:C151)=0,COUNTA(E151:G151)=0,COUNTA(I151:J151)=0),"",IF(COUNTIFS('Inventario'!$B$14:$B$43,C151)=1,INDEX('Inventario'!$D$14:$D$43,MATCH(C151,'Inventario'!$B$14:$B$43,0)),"Revisar código"))</x:f>
      </x:c>
      <x:c r="E151" s="24"/>
      <x:c r="F151" s="41"/>
      <x:c r="G151" s="38"/>
      <x:c r="H151" s="16" t="str">
        <x:f>IF(AND(COUNTA(B151:C151)=0,COUNTA(E151:G151)=0,COUNTA(I151:J151)=0),"",IF(K151&lt;&gt;"OK","Revisar datos",IF(E151="Entrada",F151*G151,0)))</x:f>
      </x:c>
      <x:c r="I151" s="24"/>
      <x:c r="J151" s="24"/>
      <x:c r="K151" s="40" t="str">
        <x:f>IF(AND(COUNTA(B151:C151)=0,COUNTA(E151:G151)=0,COUNTA(I151:J151)=0),"",IF(NOT(AND(ISNUMBER(B151),B151&gt;0,B151=INT(B151))),"Revisar: fecha",IF(OR(COUNTIFS('Inventario'!$B$14:$B$43,C151)&lt;&gt;1,NOT(OR(D151="kg",D151="g",D151="l",D151="ml",D151="pza"))),"Revisar: código",IF(NOT(OR(E151="Entrada",E151="Salida",E151="Merma")),"Revisar: tipo",IF(NOT(AND(ISNUMBER(F151),F151&gt;0)),"Revisar: cantidad",IF(AND(E151="Entrada",NOT(AND(ISNUMBER(G151),G151&gt;=0))),"Revisar: costo de compra",IF(AND(E151&lt;&gt;"Entrada",G151&lt;&gt;""),"Revisar: costo solo entrada","OK")))))))</x:f>
      </x:c>
    </x:row>
    <x:row r="152" ht="24" customHeight="1">
      <x:c r="A152" s="3"/>
      <x:c r="B152" s="25"/>
      <x:c r="C152" s="24"/>
      <x:c r="D152" s="3" t="str">
        <x:f>IF(AND(COUNTA(B152:C152)=0,COUNTA(E152:G152)=0,COUNTA(I152:J152)=0),"",IF(COUNTIFS('Inventario'!$B$14:$B$43,C152)=1,INDEX('Inventario'!$D$14:$D$43,MATCH(C152,'Inventario'!$B$14:$B$43,0)),"Revisar código"))</x:f>
      </x:c>
      <x:c r="E152" s="24"/>
      <x:c r="F152" s="41"/>
      <x:c r="G152" s="38"/>
      <x:c r="H152" s="16" t="str">
        <x:f>IF(AND(COUNTA(B152:C152)=0,COUNTA(E152:G152)=0,COUNTA(I152:J152)=0),"",IF(K152&lt;&gt;"OK","Revisar datos",IF(E152="Entrada",F152*G152,0)))</x:f>
      </x:c>
      <x:c r="I152" s="24"/>
      <x:c r="J152" s="24"/>
      <x:c r="K152" s="40" t="str">
        <x:f>IF(AND(COUNTA(B152:C152)=0,COUNTA(E152:G152)=0,COUNTA(I152:J152)=0),"",IF(NOT(AND(ISNUMBER(B152),B152&gt;0,B152=INT(B152))),"Revisar: fecha",IF(OR(COUNTIFS('Inventario'!$B$14:$B$43,C152)&lt;&gt;1,NOT(OR(D152="kg",D152="g",D152="l",D152="ml",D152="pza"))),"Revisar: código",IF(NOT(OR(E152="Entrada",E152="Salida",E152="Merma")),"Revisar: tipo",IF(NOT(AND(ISNUMBER(F152),F152&gt;0)),"Revisar: cantidad",IF(AND(E152="Entrada",NOT(AND(ISNUMBER(G152),G152&gt;=0))),"Revisar: costo de compra",IF(AND(E152&lt;&gt;"Entrada",G152&lt;&gt;""),"Revisar: costo solo entrada","OK")))))))</x:f>
      </x:c>
    </x:row>
    <x:row r="153" ht="24" customHeight="1">
      <x:c r="A153" s="3"/>
      <x:c r="B153" s="25"/>
      <x:c r="C153" s="24"/>
      <x:c r="D153" s="3" t="str">
        <x:f>IF(AND(COUNTA(B153:C153)=0,COUNTA(E153:G153)=0,COUNTA(I153:J153)=0),"",IF(COUNTIFS('Inventario'!$B$14:$B$43,C153)=1,INDEX('Inventario'!$D$14:$D$43,MATCH(C153,'Inventario'!$B$14:$B$43,0)),"Revisar código"))</x:f>
      </x:c>
      <x:c r="E153" s="24"/>
      <x:c r="F153" s="41"/>
      <x:c r="G153" s="38"/>
      <x:c r="H153" s="16" t="str">
        <x:f>IF(AND(COUNTA(B153:C153)=0,COUNTA(E153:G153)=0,COUNTA(I153:J153)=0),"",IF(K153&lt;&gt;"OK","Revisar datos",IF(E153="Entrada",F153*G153,0)))</x:f>
      </x:c>
      <x:c r="I153" s="24"/>
      <x:c r="J153" s="24"/>
      <x:c r="K153" s="40" t="str">
        <x:f>IF(AND(COUNTA(B153:C153)=0,COUNTA(E153:G153)=0,COUNTA(I153:J153)=0),"",IF(NOT(AND(ISNUMBER(B153),B153&gt;0,B153=INT(B153))),"Revisar: fecha",IF(OR(COUNTIFS('Inventario'!$B$14:$B$43,C153)&lt;&gt;1,NOT(OR(D153="kg",D153="g",D153="l",D153="ml",D153="pza"))),"Revisar: código",IF(NOT(OR(E153="Entrada",E153="Salida",E153="Merma")),"Revisar: tipo",IF(NOT(AND(ISNUMBER(F153),F153&gt;0)),"Revisar: cantidad",IF(AND(E153="Entrada",NOT(AND(ISNUMBER(G153),G153&gt;=0))),"Revisar: costo de compra",IF(AND(E153&lt;&gt;"Entrada",G153&lt;&gt;""),"Revisar: costo solo entrada","OK")))))))</x:f>
      </x:c>
    </x:row>
    <x:row r="154" ht="24" customHeight="1">
      <x:c r="A154" s="3"/>
      <x:c r="B154" s="25"/>
      <x:c r="C154" s="24"/>
      <x:c r="D154" s="3" t="str">
        <x:f>IF(AND(COUNTA(B154:C154)=0,COUNTA(E154:G154)=0,COUNTA(I154:J154)=0),"",IF(COUNTIFS('Inventario'!$B$14:$B$43,C154)=1,INDEX('Inventario'!$D$14:$D$43,MATCH(C154,'Inventario'!$B$14:$B$43,0)),"Revisar código"))</x:f>
      </x:c>
      <x:c r="E154" s="24"/>
      <x:c r="F154" s="41"/>
      <x:c r="G154" s="38"/>
      <x:c r="H154" s="16" t="str">
        <x:f>IF(AND(COUNTA(B154:C154)=0,COUNTA(E154:G154)=0,COUNTA(I154:J154)=0),"",IF(K154&lt;&gt;"OK","Revisar datos",IF(E154="Entrada",F154*G154,0)))</x:f>
      </x:c>
      <x:c r="I154" s="24"/>
      <x:c r="J154" s="24"/>
      <x:c r="K154" s="40" t="str">
        <x:f>IF(AND(COUNTA(B154:C154)=0,COUNTA(E154:G154)=0,COUNTA(I154:J154)=0),"",IF(NOT(AND(ISNUMBER(B154),B154&gt;0,B154=INT(B154))),"Revisar: fecha",IF(OR(COUNTIFS('Inventario'!$B$14:$B$43,C154)&lt;&gt;1,NOT(OR(D154="kg",D154="g",D154="l",D154="ml",D154="pza"))),"Revisar: código",IF(NOT(OR(E154="Entrada",E154="Salida",E154="Merma")),"Revisar: tipo",IF(NOT(AND(ISNUMBER(F154),F154&gt;0)),"Revisar: cantidad",IF(AND(E154="Entrada",NOT(AND(ISNUMBER(G154),G154&gt;=0))),"Revisar: costo de compra",IF(AND(E154&lt;&gt;"Entrada",G154&lt;&gt;""),"Revisar: costo solo entrada","OK")))))))</x:f>
      </x:c>
    </x:row>
    <x:row r="155" ht="24" customHeight="1">
      <x:c r="A155" s="3"/>
      <x:c r="B155" s="25"/>
      <x:c r="C155" s="24"/>
      <x:c r="D155" s="3" t="str">
        <x:f>IF(AND(COUNTA(B155:C155)=0,COUNTA(E155:G155)=0,COUNTA(I155:J155)=0),"",IF(COUNTIFS('Inventario'!$B$14:$B$43,C155)=1,INDEX('Inventario'!$D$14:$D$43,MATCH(C155,'Inventario'!$B$14:$B$43,0)),"Revisar código"))</x:f>
      </x:c>
      <x:c r="E155" s="24"/>
      <x:c r="F155" s="41"/>
      <x:c r="G155" s="38"/>
      <x:c r="H155" s="16" t="str">
        <x:f>IF(AND(COUNTA(B155:C155)=0,COUNTA(E155:G155)=0,COUNTA(I155:J155)=0),"",IF(K155&lt;&gt;"OK","Revisar datos",IF(E155="Entrada",F155*G155,0)))</x:f>
      </x:c>
      <x:c r="I155" s="24"/>
      <x:c r="J155" s="24"/>
      <x:c r="K155" s="40" t="str">
        <x:f>IF(AND(COUNTA(B155:C155)=0,COUNTA(E155:G155)=0,COUNTA(I155:J155)=0),"",IF(NOT(AND(ISNUMBER(B155),B155&gt;0,B155=INT(B155))),"Revisar: fecha",IF(OR(COUNTIFS('Inventario'!$B$14:$B$43,C155)&lt;&gt;1,NOT(OR(D155="kg",D155="g",D155="l",D155="ml",D155="pza"))),"Revisar: código",IF(NOT(OR(E155="Entrada",E155="Salida",E155="Merma")),"Revisar: tipo",IF(NOT(AND(ISNUMBER(F155),F155&gt;0)),"Revisar: cantidad",IF(AND(E155="Entrada",NOT(AND(ISNUMBER(G155),G155&gt;=0))),"Revisar: costo de compra",IF(AND(E155&lt;&gt;"Entrada",G155&lt;&gt;""),"Revisar: costo solo entrada","OK")))))))</x:f>
      </x:c>
    </x:row>
    <x:row r="156" ht="24" customHeight="1">
      <x:c r="A156" s="3"/>
      <x:c r="B156" s="25"/>
      <x:c r="C156" s="24"/>
      <x:c r="D156" s="3" t="str">
        <x:f>IF(AND(COUNTA(B156:C156)=0,COUNTA(E156:G156)=0,COUNTA(I156:J156)=0),"",IF(COUNTIFS('Inventario'!$B$14:$B$43,C156)=1,INDEX('Inventario'!$D$14:$D$43,MATCH(C156,'Inventario'!$B$14:$B$43,0)),"Revisar código"))</x:f>
      </x:c>
      <x:c r="E156" s="24"/>
      <x:c r="F156" s="41"/>
      <x:c r="G156" s="38"/>
      <x:c r="H156" s="16" t="str">
        <x:f>IF(AND(COUNTA(B156:C156)=0,COUNTA(E156:G156)=0,COUNTA(I156:J156)=0),"",IF(K156&lt;&gt;"OK","Revisar datos",IF(E156="Entrada",F156*G156,0)))</x:f>
      </x:c>
      <x:c r="I156" s="24"/>
      <x:c r="J156" s="24"/>
      <x:c r="K156" s="40" t="str">
        <x:f>IF(AND(COUNTA(B156:C156)=0,COUNTA(E156:G156)=0,COUNTA(I156:J156)=0),"",IF(NOT(AND(ISNUMBER(B156),B156&gt;0,B156=INT(B156))),"Revisar: fecha",IF(OR(COUNTIFS('Inventario'!$B$14:$B$43,C156)&lt;&gt;1,NOT(OR(D156="kg",D156="g",D156="l",D156="ml",D156="pza"))),"Revisar: código",IF(NOT(OR(E156="Entrada",E156="Salida",E156="Merma")),"Revisar: tipo",IF(NOT(AND(ISNUMBER(F156),F156&gt;0)),"Revisar: cantidad",IF(AND(E156="Entrada",NOT(AND(ISNUMBER(G156),G156&gt;=0))),"Revisar: costo de compra",IF(AND(E156&lt;&gt;"Entrada",G156&lt;&gt;""),"Revisar: costo solo entrada","OK")))))))</x:f>
      </x:c>
    </x:row>
    <x:row r="157" ht="24" customHeight="1">
      <x:c r="A157" s="3"/>
      <x:c r="B157" s="25"/>
      <x:c r="C157" s="24"/>
      <x:c r="D157" s="3" t="str">
        <x:f>IF(AND(COUNTA(B157:C157)=0,COUNTA(E157:G157)=0,COUNTA(I157:J157)=0),"",IF(COUNTIFS('Inventario'!$B$14:$B$43,C157)=1,INDEX('Inventario'!$D$14:$D$43,MATCH(C157,'Inventario'!$B$14:$B$43,0)),"Revisar código"))</x:f>
      </x:c>
      <x:c r="E157" s="24"/>
      <x:c r="F157" s="41"/>
      <x:c r="G157" s="38"/>
      <x:c r="H157" s="16" t="str">
        <x:f>IF(AND(COUNTA(B157:C157)=0,COUNTA(E157:G157)=0,COUNTA(I157:J157)=0),"",IF(K157&lt;&gt;"OK","Revisar datos",IF(E157="Entrada",F157*G157,0)))</x:f>
      </x:c>
      <x:c r="I157" s="24"/>
      <x:c r="J157" s="24"/>
      <x:c r="K157" s="40" t="str">
        <x:f>IF(AND(COUNTA(B157:C157)=0,COUNTA(E157:G157)=0,COUNTA(I157:J157)=0),"",IF(NOT(AND(ISNUMBER(B157),B157&gt;0,B157=INT(B157))),"Revisar: fecha",IF(OR(COUNTIFS('Inventario'!$B$14:$B$43,C157)&lt;&gt;1,NOT(OR(D157="kg",D157="g",D157="l",D157="ml",D157="pza"))),"Revisar: código",IF(NOT(OR(E157="Entrada",E157="Salida",E157="Merma")),"Revisar: tipo",IF(NOT(AND(ISNUMBER(F157),F157&gt;0)),"Revisar: cantidad",IF(AND(E157="Entrada",NOT(AND(ISNUMBER(G157),G157&gt;=0))),"Revisar: costo de compra",IF(AND(E157&lt;&gt;"Entrada",G157&lt;&gt;""),"Revisar: costo solo entrada","OK")))))))</x:f>
      </x:c>
    </x:row>
    <x:row r="158" ht="24" customHeight="1">
      <x:c r="A158" s="3"/>
      <x:c r="B158" s="25"/>
      <x:c r="C158" s="24"/>
      <x:c r="D158" s="3" t="str">
        <x:f>IF(AND(COUNTA(B158:C158)=0,COUNTA(E158:G158)=0,COUNTA(I158:J158)=0),"",IF(COUNTIFS('Inventario'!$B$14:$B$43,C158)=1,INDEX('Inventario'!$D$14:$D$43,MATCH(C158,'Inventario'!$B$14:$B$43,0)),"Revisar código"))</x:f>
      </x:c>
      <x:c r="E158" s="24"/>
      <x:c r="F158" s="41"/>
      <x:c r="G158" s="38"/>
      <x:c r="H158" s="16" t="str">
        <x:f>IF(AND(COUNTA(B158:C158)=0,COUNTA(E158:G158)=0,COUNTA(I158:J158)=0),"",IF(K158&lt;&gt;"OK","Revisar datos",IF(E158="Entrada",F158*G158,0)))</x:f>
      </x:c>
      <x:c r="I158" s="24"/>
      <x:c r="J158" s="24"/>
      <x:c r="K158" s="40" t="str">
        <x:f>IF(AND(COUNTA(B158:C158)=0,COUNTA(E158:G158)=0,COUNTA(I158:J158)=0),"",IF(NOT(AND(ISNUMBER(B158),B158&gt;0,B158=INT(B158))),"Revisar: fecha",IF(OR(COUNTIFS('Inventario'!$B$14:$B$43,C158)&lt;&gt;1,NOT(OR(D158="kg",D158="g",D158="l",D158="ml",D158="pza"))),"Revisar: código",IF(NOT(OR(E158="Entrada",E158="Salida",E158="Merma")),"Revisar: tipo",IF(NOT(AND(ISNUMBER(F158),F158&gt;0)),"Revisar: cantidad",IF(AND(E158="Entrada",NOT(AND(ISNUMBER(G158),G158&gt;=0))),"Revisar: costo de compra",IF(AND(E158&lt;&gt;"Entrada",G158&lt;&gt;""),"Revisar: costo solo entrada","OK")))))))</x:f>
      </x:c>
    </x:row>
    <x:row r="159" ht="24" customHeight="1">
      <x:c r="A159" s="3"/>
      <x:c r="B159" s="25"/>
      <x:c r="C159" s="24"/>
      <x:c r="D159" s="3" t="str">
        <x:f>IF(AND(COUNTA(B159:C159)=0,COUNTA(E159:G159)=0,COUNTA(I159:J159)=0),"",IF(COUNTIFS('Inventario'!$B$14:$B$43,C159)=1,INDEX('Inventario'!$D$14:$D$43,MATCH(C159,'Inventario'!$B$14:$B$43,0)),"Revisar código"))</x:f>
      </x:c>
      <x:c r="E159" s="24"/>
      <x:c r="F159" s="41"/>
      <x:c r="G159" s="38"/>
      <x:c r="H159" s="16" t="str">
        <x:f>IF(AND(COUNTA(B159:C159)=0,COUNTA(E159:G159)=0,COUNTA(I159:J159)=0),"",IF(K159&lt;&gt;"OK","Revisar datos",IF(E159="Entrada",F159*G159,0)))</x:f>
      </x:c>
      <x:c r="I159" s="24"/>
      <x:c r="J159" s="24"/>
      <x:c r="K159" s="40" t="str">
        <x:f>IF(AND(COUNTA(B159:C159)=0,COUNTA(E159:G159)=0,COUNTA(I159:J159)=0),"",IF(NOT(AND(ISNUMBER(B159),B159&gt;0,B159=INT(B159))),"Revisar: fecha",IF(OR(COUNTIFS('Inventario'!$B$14:$B$43,C159)&lt;&gt;1,NOT(OR(D159="kg",D159="g",D159="l",D159="ml",D159="pza"))),"Revisar: código",IF(NOT(OR(E159="Entrada",E159="Salida",E159="Merma")),"Revisar: tipo",IF(NOT(AND(ISNUMBER(F159),F159&gt;0)),"Revisar: cantidad",IF(AND(E159="Entrada",NOT(AND(ISNUMBER(G159),G159&gt;=0))),"Revisar: costo de compra",IF(AND(E159&lt;&gt;"Entrada",G159&lt;&gt;""),"Revisar: costo solo entrada","OK")))))))</x:f>
      </x:c>
    </x:row>
    <x:row r="160" ht="24" customHeight="1">
      <x:c r="A160" s="3"/>
      <x:c r="B160" s="25"/>
      <x:c r="C160" s="24"/>
      <x:c r="D160" s="3" t="str">
        <x:f>IF(AND(COUNTA(B160:C160)=0,COUNTA(E160:G160)=0,COUNTA(I160:J160)=0),"",IF(COUNTIFS('Inventario'!$B$14:$B$43,C160)=1,INDEX('Inventario'!$D$14:$D$43,MATCH(C160,'Inventario'!$B$14:$B$43,0)),"Revisar código"))</x:f>
      </x:c>
      <x:c r="E160" s="24"/>
      <x:c r="F160" s="41"/>
      <x:c r="G160" s="38"/>
      <x:c r="H160" s="16" t="str">
        <x:f>IF(AND(COUNTA(B160:C160)=0,COUNTA(E160:G160)=0,COUNTA(I160:J160)=0),"",IF(K160&lt;&gt;"OK","Revisar datos",IF(E160="Entrada",F160*G160,0)))</x:f>
      </x:c>
      <x:c r="I160" s="24"/>
      <x:c r="J160" s="24"/>
      <x:c r="K160" s="40" t="str">
        <x:f>IF(AND(COUNTA(B160:C160)=0,COUNTA(E160:G160)=0,COUNTA(I160:J160)=0),"",IF(NOT(AND(ISNUMBER(B160),B160&gt;0,B160=INT(B160))),"Revisar: fecha",IF(OR(COUNTIFS('Inventario'!$B$14:$B$43,C160)&lt;&gt;1,NOT(OR(D160="kg",D160="g",D160="l",D160="ml",D160="pza"))),"Revisar: código",IF(NOT(OR(E160="Entrada",E160="Salida",E160="Merma")),"Revisar: tipo",IF(NOT(AND(ISNUMBER(F160),F160&gt;0)),"Revisar: cantidad",IF(AND(E160="Entrada",NOT(AND(ISNUMBER(G160),G160&gt;=0))),"Revisar: costo de compra",IF(AND(E160&lt;&gt;"Entrada",G160&lt;&gt;""),"Revisar: costo solo entrada","OK")))))))</x:f>
      </x:c>
    </x:row>
    <x:row r="161" ht="24" customHeight="1">
      <x:c r="A161" s="3"/>
      <x:c r="B161" s="25"/>
      <x:c r="C161" s="24"/>
      <x:c r="D161" s="3" t="str">
        <x:f>IF(AND(COUNTA(B161:C161)=0,COUNTA(E161:G161)=0,COUNTA(I161:J161)=0),"",IF(COUNTIFS('Inventario'!$B$14:$B$43,C161)=1,INDEX('Inventario'!$D$14:$D$43,MATCH(C161,'Inventario'!$B$14:$B$43,0)),"Revisar código"))</x:f>
      </x:c>
      <x:c r="E161" s="24"/>
      <x:c r="F161" s="41"/>
      <x:c r="G161" s="38"/>
      <x:c r="H161" s="16" t="str">
        <x:f>IF(AND(COUNTA(B161:C161)=0,COUNTA(E161:G161)=0,COUNTA(I161:J161)=0),"",IF(K161&lt;&gt;"OK","Revisar datos",IF(E161="Entrada",F161*G161,0)))</x:f>
      </x:c>
      <x:c r="I161" s="24"/>
      <x:c r="J161" s="24"/>
      <x:c r="K161" s="40" t="str">
        <x:f>IF(AND(COUNTA(B161:C161)=0,COUNTA(E161:G161)=0,COUNTA(I161:J161)=0),"",IF(NOT(AND(ISNUMBER(B161),B161&gt;0,B161=INT(B161))),"Revisar: fecha",IF(OR(COUNTIFS('Inventario'!$B$14:$B$43,C161)&lt;&gt;1,NOT(OR(D161="kg",D161="g",D161="l",D161="ml",D161="pza"))),"Revisar: código",IF(NOT(OR(E161="Entrada",E161="Salida",E161="Merma")),"Revisar: tipo",IF(NOT(AND(ISNUMBER(F161),F161&gt;0)),"Revisar: cantidad",IF(AND(E161="Entrada",NOT(AND(ISNUMBER(G161),G161&gt;=0))),"Revisar: costo de compra",IF(AND(E161&lt;&gt;"Entrada",G161&lt;&gt;""),"Revisar: costo solo entrada","OK")))))))</x:f>
      </x:c>
    </x:row>
    <x:row r="162" ht="24" customHeight="1">
      <x:c r="A162" s="3"/>
      <x:c r="B162" s="25"/>
      <x:c r="C162" s="24"/>
      <x:c r="D162" s="3" t="str">
        <x:f>IF(AND(COUNTA(B162:C162)=0,COUNTA(E162:G162)=0,COUNTA(I162:J162)=0),"",IF(COUNTIFS('Inventario'!$B$14:$B$43,C162)=1,INDEX('Inventario'!$D$14:$D$43,MATCH(C162,'Inventario'!$B$14:$B$43,0)),"Revisar código"))</x:f>
      </x:c>
      <x:c r="E162" s="24"/>
      <x:c r="F162" s="41"/>
      <x:c r="G162" s="38"/>
      <x:c r="H162" s="16" t="str">
        <x:f>IF(AND(COUNTA(B162:C162)=0,COUNTA(E162:G162)=0,COUNTA(I162:J162)=0),"",IF(K162&lt;&gt;"OK","Revisar datos",IF(E162="Entrada",F162*G162,0)))</x:f>
      </x:c>
      <x:c r="I162" s="24"/>
      <x:c r="J162" s="24"/>
      <x:c r="K162" s="40" t="str">
        <x:f>IF(AND(COUNTA(B162:C162)=0,COUNTA(E162:G162)=0,COUNTA(I162:J162)=0),"",IF(NOT(AND(ISNUMBER(B162),B162&gt;0,B162=INT(B162))),"Revisar: fecha",IF(OR(COUNTIFS('Inventario'!$B$14:$B$43,C162)&lt;&gt;1,NOT(OR(D162="kg",D162="g",D162="l",D162="ml",D162="pza"))),"Revisar: código",IF(NOT(OR(E162="Entrada",E162="Salida",E162="Merma")),"Revisar: tipo",IF(NOT(AND(ISNUMBER(F162),F162&gt;0)),"Revisar: cantidad",IF(AND(E162="Entrada",NOT(AND(ISNUMBER(G162),G162&gt;=0))),"Revisar: costo de compra",IF(AND(E162&lt;&gt;"Entrada",G162&lt;&gt;""),"Revisar: costo solo entrada","OK")))))))</x:f>
      </x:c>
    </x:row>
    <x:row r="163" ht="24" customHeight="1">
      <x:c r="A163" s="3"/>
      <x:c r="B163" s="25"/>
      <x:c r="C163" s="24"/>
      <x:c r="D163" s="3" t="str">
        <x:f>IF(AND(COUNTA(B163:C163)=0,COUNTA(E163:G163)=0,COUNTA(I163:J163)=0),"",IF(COUNTIFS('Inventario'!$B$14:$B$43,C163)=1,INDEX('Inventario'!$D$14:$D$43,MATCH(C163,'Inventario'!$B$14:$B$43,0)),"Revisar código"))</x:f>
      </x:c>
      <x:c r="E163" s="24"/>
      <x:c r="F163" s="41"/>
      <x:c r="G163" s="38"/>
      <x:c r="H163" s="16" t="str">
        <x:f>IF(AND(COUNTA(B163:C163)=0,COUNTA(E163:G163)=0,COUNTA(I163:J163)=0),"",IF(K163&lt;&gt;"OK","Revisar datos",IF(E163="Entrada",F163*G163,0)))</x:f>
      </x:c>
      <x:c r="I163" s="24"/>
      <x:c r="J163" s="24"/>
      <x:c r="K163" s="40" t="str">
        <x:f>IF(AND(COUNTA(B163:C163)=0,COUNTA(E163:G163)=0,COUNTA(I163:J163)=0),"",IF(NOT(AND(ISNUMBER(B163),B163&gt;0,B163=INT(B163))),"Revisar: fecha",IF(OR(COUNTIFS('Inventario'!$B$14:$B$43,C163)&lt;&gt;1,NOT(OR(D163="kg",D163="g",D163="l",D163="ml",D163="pza"))),"Revisar: código",IF(NOT(OR(E163="Entrada",E163="Salida",E163="Merma")),"Revisar: tipo",IF(NOT(AND(ISNUMBER(F163),F163&gt;0)),"Revisar: cantidad",IF(AND(E163="Entrada",NOT(AND(ISNUMBER(G163),G163&gt;=0))),"Revisar: costo de compra",IF(AND(E163&lt;&gt;"Entrada",G163&lt;&gt;""),"Revisar: costo solo entrada","OK")))))))</x:f>
      </x:c>
    </x:row>
    <x:row r="164" ht="24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</x:row>
    <x:row r="165" ht="24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</x:row>
    <x:row r="166" ht="24" customHeight="1">
      <x:c r="A166" s="3"/>
      <x:c r="B166" s="10" t="str">
        <x:v>Ver existencias y reposición</x:v>
      </x:c>
      <x:c r="C166" s="3"/>
      <x:c r="D166" s="3"/>
      <x:c r="E166" s="3"/>
      <x:c r="F166" s="3"/>
      <x:c r="G166" s="10" t="str">
        <x:v>Volver al resumen</x:v>
      </x:c>
      <x:c r="H166" s="3"/>
      <x:c r="I166" s="3"/>
      <x:c r="J166" s="3"/>
      <x:c r="K166" s="3"/>
    </x:row>
    <x:row r="167" ht="24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</x:row>
    <x:row r="168" ht="24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</x:row>
  </x:sheetData>
  <x:conditionalFormatting sqref="D14:K163">
    <x:cfRule type="containsText" dxfId="5" priority="1" operator="containsText" text="Revisar"/>
  </x:conditionalFormatting>
  <x:dataValidations count="4">
    <x:dataValidation type="list" sqref="E14:E163">
      <x:formula1>"Entrada,Salida,Merma"</x:formula1>
    </x:dataValidation>
    <x:dataValidation type="list" sqref="C14:C163">
      <x:formula1>INDIRECT("'Inventario'!$B$14:$B$43")</x:formula1>
    </x:dataValidation>
    <x:dataValidation type="decimal" operator="between" sqref="F14:F163">
      <x:formula1>0.000001</x:formula1>
      <x:formula2>100000000</x:formula2>
    </x:dataValidation>
    <x:dataValidation type="decimal" operator="between" sqref="G14:G163">
      <x:formula1>0</x:formula1>
      <x:formula2>100000000</x:formula2>
    </x:dataValidation>
  </x:dataValidations>
  <x:hyperlinks>
    <x:hyperlink ref="B166" location="'Inventario'!A1" display="Ver existencias y reposición"/>
    <x:hyperlink ref="G166" location="'Resumen'!A1" display="Volver al resumen"/>
  </x:hyperlinks>
  <x:pageMargins left="0.7" right="0.7" top="0.75" bottom="0.75" header="0.3" footer="0.3"/>
  <x:drawing xmlns:r="http://schemas.openxmlformats.org/officeDocument/2006/relationships" r:id="R54c5a87e96444a27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tabColor rgb="FFB58A36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16" hidden="0" customWidth="1"/>
    <x:col min="4" max="4" width="19" hidden="0" customWidth="1"/>
    <x:col min="5" max="5" width="20" hidden="0" customWidth="1"/>
    <x:col min="6" max="6" width="19" hidden="0" customWidth="1"/>
    <x:col min="7" max="7" width="19" hidden="0" customWidth="1"/>
    <x:col min="8" max="8" width="22" hidden="0" customWidth="1"/>
    <x:col min="9" max="9" width="21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4" t="str">
        <x:v>Costea un platillo</x:v>
      </x:c>
      <x:c r="C2" s="3"/>
      <x:c r="D2" s="3"/>
      <x:c r="E2" s="3"/>
      <x:c r="F2" s="3"/>
      <x:c r="G2" s="3"/>
      <x:c r="H2" s="3"/>
      <x:c r="I2" s="3"/>
    </x:row>
    <x:row r="3" ht="24" customHeight="1">
      <x:c r="A3" s="3"/>
      <x:c r="B3" s="5" t="str">
        <x:v>Ejemplo didáctico en MXN. Ingredientes y precio neto por porción.</x:v>
      </x:c>
      <x:c r="C3" s="3"/>
      <x:c r="D3" s="3"/>
      <x:c r="E3" s="3"/>
      <x:c r="F3" s="3"/>
      <x:c r="G3" s="3"/>
      <x:c r="H3" s="3"/>
      <x:c r="I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24" customHeight="1">
      <x:c r="A7" s="3"/>
      <x:c r="B7" s="3" t="str">
        <x:v>Costo por porción</x:v>
      </x:c>
      <x:c r="C7" s="3"/>
      <x:c r="D7" s="3"/>
      <x:c r="E7" s="3" t="str">
        <x:v>Precio sin IVA</x:v>
      </x:c>
      <x:c r="F7" s="3"/>
      <x:c r="G7" s="3"/>
      <x:c r="H7" s="3" t="str">
        <x:v>Margen sobre ingredientes</x:v>
      </x:c>
      <x:c r="I7" s="3"/>
    </x:row>
    <x:row r="8" ht="24" customHeight="1">
      <x:c r="A8" s="3"/>
      <x:c r="B8" s="3"/>
      <x:c r="C8" s="26" t="n">
        <x:f>IF(AND(ISNUMBER(I30),ISNUMBER(C12),C12&gt;0),I30/C12,"Revisar datos")</x:f>
        <x:v>23.789473684210527</x:v>
      </x:c>
      <x:c r="D8" s="3"/>
      <x:c r="E8" s="3"/>
      <x:c r="F8" s="26" t="n">
        <x:f>IF(AND(ISNUMBER(C13),C13&gt;=0),C13,"Falta precio")</x:f>
        <x:v>120</x:v>
      </x:c>
      <x:c r="G8" s="3"/>
      <x:c r="H8" s="3"/>
      <x:c r="I8" s="43" t="n">
        <x:f>IF(AND(ISNUMBER(C8),ISNUMBER(F8),F8&gt;0),(F8-C8)/F8,"n.a.")</x:f>
        <x:v>0.8017543859649123</x:v>
      </x:c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</x:row>
    <x:row r="11" ht="24" customHeight="1">
      <x:c r="A11" s="3"/>
      <x:c r="B11" s="3" t="str">
        <x:v>Receta</x:v>
      </x:c>
      <x:c r="C11" s="24" t="str">
        <x:v>Ensalada de ejemplo</x:v>
      </x:c>
      <x:c r="D11" s="3"/>
      <x:c r="E11" s="5" t="str">
        <x:v>Misma unidad al comprar y dosificar: g, ml o pza.</x:v>
      </x:c>
      <x:c r="F11" s="5"/>
      <x:c r="G11" s="5"/>
      <x:c r="H11" s="5"/>
      <x:c r="I11" s="5"/>
    </x:row>
    <x:row r="12" ht="24" customHeight="1">
      <x:c r="A12" s="3"/>
      <x:c r="B12" s="3" t="str">
        <x:v>Porciones obtenidas</x:v>
      </x:c>
      <x:c r="C12" s="39" t="n">
        <x:v>4</x:v>
      </x:c>
      <x:c r="D12" s="3"/>
      <x:c r="E12" s="5" t="str">
        <x:v>Rendimiento útil: 90% aprovecha 900 de 1,000 g.</x:v>
      </x:c>
      <x:c r="F12" s="5"/>
      <x:c r="G12" s="5"/>
      <x:c r="H12" s="5"/>
      <x:c r="I12" s="5"/>
    </x:row>
    <x:row r="13" ht="24" customHeight="1">
      <x:c r="A13" s="3"/>
      <x:c r="B13" s="3" t="str">
        <x:v>Precio neto por porción</x:v>
      </x:c>
      <x:c r="C13" s="38" t="n">
        <x:v>120</x:v>
      </x:c>
      <x:c r="D13" s="3"/>
      <x:c r="E13" s="5" t="str">
        <x:v>Margen sin renta, nómina, comisiones ni otros gastos.</x:v>
      </x:c>
      <x:c r="F13" s="5"/>
      <x:c r="G13" s="5"/>
      <x:c r="H13" s="5"/>
      <x:c r="I13" s="5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24" customHeight="1">
      <x:c r="A16" s="3"/>
      <x:c r="B16" s="44" t="str">
        <x:v>Ingredientes de la receta completa</x:v>
      </x:c>
      <x:c r="C16" s="3"/>
      <x:c r="D16" s="3"/>
      <x:c r="E16" s="3"/>
      <x:c r="F16" s="3"/>
      <x:c r="G16" s="3"/>
      <x:c r="H16" s="3"/>
      <x:c r="I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44" customHeight="1">
      <x:c r="A18" s="3"/>
      <x:c r="B18" s="35" t="str">
        <x:v>Ingrediente</x:v>
      </x:c>
      <x:c r="C18" s="36" t="str">
        <x:v>Unidad base</x:v>
      </x:c>
      <x:c r="D18" s="36" t="str">
        <x:v>Cantidad comprada</x:v>
      </x:c>
      <x:c r="E18" s="36" t="str">
        <x:v>Costo de compra</x:v>
      </x:c>
      <x:c r="F18" s="36" t="str">
        <x:v>Rendimiento útil</x:v>
      </x:c>
      <x:c r="G18" s="36" t="str">
        <x:v>Cantidad en receta</x:v>
      </x:c>
      <x:c r="H18" s="36" t="str">
        <x:v>Costo por unidad útil</x:v>
      </x:c>
      <x:c r="I18" s="37" t="str">
        <x:v>Costo en receta</x:v>
      </x:c>
    </x:row>
    <x:row r="19" ht="24" customHeight="1">
      <x:c r="A19" s="3"/>
      <x:c r="B19" s="24" t="str">
        <x:v>Verduras</x:v>
      </x:c>
      <x:c r="C19" s="24" t="str">
        <x:v>g</x:v>
      </x:c>
      <x:c r="D19" s="41" t="n">
        <x:v>1000</x:v>
      </x:c>
      <x:c r="E19" s="38" t="n">
        <x:v>60</x:v>
      </x:c>
      <x:c r="F19" s="45" t="n">
        <x:v>0.9</x:v>
      </x:c>
      <x:c r="G19" s="41" t="n">
        <x:v>300</x:v>
      </x:c>
      <x:c r="H19" s="46" t="n">
        <x:f>IF(COUNTA(B19:G19)=0,"",IF(AND(B19&lt;&gt;"",C19&lt;&gt;"",ISNUMBER(D19),D19&gt;0,ISNUMBER(E19),E19&gt;=0,ISNUMBER(F19),F19&gt;0,F19&lt;=1),E19/(D19*F19),"Revisar datos"))</x:f>
        <x:v>0.06666666666666667</x:v>
      </x:c>
      <x:c r="I19" s="16" t="n">
        <x:f>IF(COUNTA(B19:G19)=0,"",IF(AND(ISNUMBER(H19),ISNUMBER(G19),G19&gt;=0),H19*G19,"Revisar datos"))</x:f>
        <x:v>20</x:v>
      </x:c>
    </x:row>
    <x:row r="20" ht="24" customHeight="1">
      <x:c r="A20" s="3"/>
      <x:c r="B20" s="24" t="str">
        <x:v>Champiñones</x:v>
      </x:c>
      <x:c r="C20" s="24" t="str">
        <x:v>g</x:v>
      </x:c>
      <x:c r="D20" s="41" t="n">
        <x:v>1000</x:v>
      </x:c>
      <x:c r="E20" s="38" t="n">
        <x:v>120</x:v>
      </x:c>
      <x:c r="F20" s="45" t="n">
        <x:v>0.95</x:v>
      </x:c>
      <x:c r="G20" s="41" t="n">
        <x:v>500</x:v>
      </x:c>
      <x:c r="H20" s="46" t="n">
        <x:f>IF(COUNTA(B20:G20)=0,"",IF(AND(B20&lt;&gt;"",C20&lt;&gt;"",ISNUMBER(D20),D20&gt;0,ISNUMBER(E20),E20&gt;=0,ISNUMBER(F20),F20&gt;0,F20&lt;=1),E20/(D20*F20),"Revisar datos"))</x:f>
        <x:v>0.12631578947368421</x:v>
      </x:c>
      <x:c r="I20" s="16" t="n">
        <x:f>IF(COUNTA(B20:G20)=0,"",IF(AND(ISNUMBER(H20),ISNUMBER(G20),G20&gt;=0),H20*G20,"Revisar datos"))</x:f>
        <x:v>63.15789473684211</x:v>
      </x:c>
    </x:row>
    <x:row r="21" ht="24" customHeight="1">
      <x:c r="A21" s="3"/>
      <x:c r="B21" s="24" t="str">
        <x:v>Aderezo</x:v>
      </x:c>
      <x:c r="C21" s="24" t="str">
        <x:v>ml</x:v>
      </x:c>
      <x:c r="D21" s="41" t="n">
        <x:v>1000</x:v>
      </x:c>
      <x:c r="E21" s="38" t="n">
        <x:v>90</x:v>
      </x:c>
      <x:c r="F21" s="45" t="n">
        <x:v>1</x:v>
      </x:c>
      <x:c r="G21" s="41" t="n">
        <x:v>80</x:v>
      </x:c>
      <x:c r="H21" s="46" t="n">
        <x:f>IF(COUNTA(B21:G21)=0,"",IF(AND(B21&lt;&gt;"",C21&lt;&gt;"",ISNUMBER(D21),D21&gt;0,ISNUMBER(E21),E21&gt;=0,ISNUMBER(F21),F21&gt;0,F21&lt;=1),E21/(D21*F21),"Revisar datos"))</x:f>
        <x:v>0.09</x:v>
      </x:c>
      <x:c r="I21" s="16" t="n">
        <x:f>IF(COUNTA(B21:G21)=0,"",IF(AND(ISNUMBER(H21),ISNUMBER(G21),G21&gt;=0),H21*G21,"Revisar datos"))</x:f>
        <x:v>7.199999999999999</x:v>
      </x:c>
    </x:row>
    <x:row r="22" ht="24" customHeight="1">
      <x:c r="A22" s="3"/>
      <x:c r="B22" s="24" t="str">
        <x:v>Guarnición</x:v>
      </x:c>
      <x:c r="C22" s="24" t="str">
        <x:v>g</x:v>
      </x:c>
      <x:c r="D22" s="41" t="n">
        <x:v>1000</x:v>
      </x:c>
      <x:c r="E22" s="38" t="n">
        <x:v>40</x:v>
      </x:c>
      <x:c r="F22" s="45" t="n">
        <x:v>1</x:v>
      </x:c>
      <x:c r="G22" s="41" t="n">
        <x:v>120</x:v>
      </x:c>
      <x:c r="H22" s="46" t="n">
        <x:f>IF(COUNTA(B22:G22)=0,"",IF(AND(B22&lt;&gt;"",C22&lt;&gt;"",ISNUMBER(D22),D22&gt;0,ISNUMBER(E22),E22&gt;=0,ISNUMBER(F22),F22&gt;0,F22&lt;=1),E22/(D22*F22),"Revisar datos"))</x:f>
        <x:v>0.04</x:v>
      </x:c>
      <x:c r="I22" s="16" t="n">
        <x:f>IF(COUNTA(B22:G22)=0,"",IF(AND(ISNUMBER(H22),ISNUMBER(G22),G22&gt;=0),H22*G22,"Revisar datos"))</x:f>
        <x:v>4.8</x:v>
      </x:c>
    </x:row>
    <x:row r="23" ht="24" customHeight="1">
      <x:c r="A23" s="3"/>
      <x:c r="B23" s="24"/>
      <x:c r="C23" s="24"/>
      <x:c r="D23" s="41"/>
      <x:c r="E23" s="38"/>
      <x:c r="F23" s="45"/>
      <x:c r="G23" s="41"/>
      <x:c r="H23" s="46" t="str">
        <x:f>IF(COUNTA(B23:G23)=0,"",IF(AND(B23&lt;&gt;"",C23&lt;&gt;"",ISNUMBER(D23),D23&gt;0,ISNUMBER(E23),E23&gt;=0,ISNUMBER(F23),F23&gt;0,F23&lt;=1),E23/(D23*F23),"Revisar datos"))</x:f>
      </x:c>
      <x:c r="I23" s="16" t="str">
        <x:f>IF(COUNTA(B23:G23)=0,"",IF(AND(ISNUMBER(H23),ISNUMBER(G23),G23&gt;=0),H23*G23,"Revisar datos"))</x:f>
      </x:c>
    </x:row>
    <x:row r="24" ht="24" customHeight="1">
      <x:c r="A24" s="3"/>
      <x:c r="B24" s="24"/>
      <x:c r="C24" s="24"/>
      <x:c r="D24" s="41"/>
      <x:c r="E24" s="38"/>
      <x:c r="F24" s="45"/>
      <x:c r="G24" s="41"/>
      <x:c r="H24" s="46" t="str">
        <x:f>IF(COUNTA(B24:G24)=0,"",IF(AND(B24&lt;&gt;"",C24&lt;&gt;"",ISNUMBER(D24),D24&gt;0,ISNUMBER(E24),E24&gt;=0,ISNUMBER(F24),F24&gt;0,F24&lt;=1),E24/(D24*F24),"Revisar datos"))</x:f>
      </x:c>
      <x:c r="I24" s="16" t="str">
        <x:f>IF(COUNTA(B24:G24)=0,"",IF(AND(ISNUMBER(H24),ISNUMBER(G24),G24&gt;=0),H24*G24,"Revisar datos"))</x:f>
      </x:c>
    </x:row>
    <x:row r="25" ht="24" customHeight="1">
      <x:c r="A25" s="3"/>
      <x:c r="B25" s="24"/>
      <x:c r="C25" s="24"/>
      <x:c r="D25" s="41"/>
      <x:c r="E25" s="38"/>
      <x:c r="F25" s="45"/>
      <x:c r="G25" s="41"/>
      <x:c r="H25" s="46" t="str">
        <x:f>IF(COUNTA(B25:G25)=0,"",IF(AND(B25&lt;&gt;"",C25&lt;&gt;"",ISNUMBER(D25),D25&gt;0,ISNUMBER(E25),E25&gt;=0,ISNUMBER(F25),F25&gt;0,F25&lt;=1),E25/(D25*F25),"Revisar datos"))</x:f>
      </x:c>
      <x:c r="I25" s="16" t="str">
        <x:f>IF(COUNTA(B25:G25)=0,"",IF(AND(ISNUMBER(H25),ISNUMBER(G25),G25&gt;=0),H25*G25,"Revisar datos"))</x:f>
      </x:c>
    </x:row>
    <x:row r="26" ht="24" customHeight="1">
      <x:c r="A26" s="3"/>
      <x:c r="B26" s="24"/>
      <x:c r="C26" s="24"/>
      <x:c r="D26" s="41"/>
      <x:c r="E26" s="38"/>
      <x:c r="F26" s="45"/>
      <x:c r="G26" s="41"/>
      <x:c r="H26" s="46" t="str">
        <x:f>IF(COUNTA(B26:G26)=0,"",IF(AND(B26&lt;&gt;"",C26&lt;&gt;"",ISNUMBER(D26),D26&gt;0,ISNUMBER(E26),E26&gt;=0,ISNUMBER(F26),F26&gt;0,F26&lt;=1),E26/(D26*F26),"Revisar datos"))</x:f>
      </x:c>
      <x:c r="I26" s="16" t="str">
        <x:f>IF(COUNTA(B26:G26)=0,"",IF(AND(ISNUMBER(H26),ISNUMBER(G26),G26&gt;=0),H26*G26,"Revisar datos"))</x:f>
      </x:c>
    </x:row>
    <x:row r="27" ht="24" customHeight="1">
      <x:c r="A27" s="3"/>
      <x:c r="B27" s="24"/>
      <x:c r="C27" s="24"/>
      <x:c r="D27" s="41"/>
      <x:c r="E27" s="38"/>
      <x:c r="F27" s="45"/>
      <x:c r="G27" s="41"/>
      <x:c r="H27" s="46" t="str">
        <x:f>IF(COUNTA(B27:G27)=0,"",IF(AND(B27&lt;&gt;"",C27&lt;&gt;"",ISNUMBER(D27),D27&gt;0,ISNUMBER(E27),E27&gt;=0,ISNUMBER(F27),F27&gt;0,F27&lt;=1),E27/(D27*F27),"Revisar datos"))</x:f>
      </x:c>
      <x:c r="I27" s="16" t="str">
        <x:f>IF(COUNTA(B27:G27)=0,"",IF(AND(ISNUMBER(H27),ISNUMBER(G27),G27&gt;=0),H27*G27,"Revisar datos"))</x:f>
      </x:c>
    </x:row>
    <x:row r="28" ht="24" customHeight="1">
      <x:c r="A28" s="3"/>
      <x:c r="B28" s="24"/>
      <x:c r="C28" s="24"/>
      <x:c r="D28" s="41"/>
      <x:c r="E28" s="38"/>
      <x:c r="F28" s="45"/>
      <x:c r="G28" s="41"/>
      <x:c r="H28" s="46" t="str">
        <x:f>IF(COUNTA(B28:G28)=0,"",IF(AND(B28&lt;&gt;"",C28&lt;&gt;"",ISNUMBER(D28),D28&gt;0,ISNUMBER(E28),E28&gt;=0,ISNUMBER(F28),F28&gt;0,F28&lt;=1),E28/(D28*F28),"Revisar datos"))</x:f>
      </x:c>
      <x:c r="I28" s="16" t="str">
        <x:f>IF(COUNTA(B28:G28)=0,"",IF(AND(ISNUMBER(H28),ISNUMBER(G28),G28&gt;=0),H28*G28,"Revisar datos"))</x:f>
      </x:c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16"/>
    </x:row>
    <x:row r="30" ht="24" customHeight="1">
      <x:c r="A30" s="3"/>
      <x:c r="B30" s="3"/>
      <x:c r="C30" s="3"/>
      <x:c r="D30" s="3"/>
      <x:c r="E30" s="3"/>
      <x:c r="F30" s="3"/>
      <x:c r="G30" s="3"/>
      <x:c r="H30" s="48" t="str">
        <x:v>Total receta</x:v>
      </x:c>
      <x:c r="I30" s="49" t="n">
        <x:f>IF(COUNTIFS(I19:I28,"Revisar datos")&gt;0,"Revisar datos",IF(COUNTA(B19:B28)=0,"Faltan ingredientes",SUM(I19:I28)))</x:f>
        <x:v>95.15789473684211</x:v>
      </x:c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</x:row>
    <x:row r="33" ht="24" customHeight="1">
      <x:c r="A33" s="3"/>
      <x:c r="B33" s="5" t="str">
        <x:v>Captura compra, rendimiento y cantidad usada. No agregues merma otra vez.</x:v>
      </x:c>
      <x:c r="C33" s="5"/>
      <x:c r="D33" s="5"/>
      <x:c r="E33" s="5"/>
      <x:c r="F33" s="5"/>
      <x:c r="G33" s="5"/>
      <x:c r="H33" s="5"/>
      <x:c r="I33" s="5"/>
    </x:row>
    <x:row r="34" ht="24" customHeight="1">
      <x:c r="A34" s="3"/>
      <x:c r="B34" s="5" t="str">
        <x:v>El costo calculado es de ingredientes. No representa el costo completo del producto.</x:v>
      </x:c>
      <x:c r="C34" s="5"/>
      <x:c r="D34" s="5"/>
      <x:c r="E34" s="5"/>
      <x:c r="F34" s="5"/>
      <x:c r="G34" s="5"/>
      <x:c r="H34" s="5"/>
      <x:c r="I34" s="5"/>
    </x:row>
    <x:row r="35" ht="24" customHeight="1">
      <x:c r="A35" s="3"/>
      <x:c r="B35" s="5" t="str">
        <x:v>Sin IVA. Los ejemplos no alimentan el porcentaje variable de Equilibrio.</x:v>
      </x:c>
      <x:c r="C35" s="5"/>
      <x:c r="D35" s="5"/>
      <x:c r="E35" s="5"/>
      <x:c r="F35" s="5"/>
      <x:c r="G35" s="5"/>
      <x:c r="H35" s="5"/>
      <x:c r="I35" s="5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24" customHeight="1">
      <x:c r="A38" s="3"/>
      <x:c r="B38" s="10" t="str">
        <x:v>Volver al resumen</x:v>
      </x:c>
      <x:c r="C38" s="3"/>
      <x:c r="D38" s="3"/>
      <x:c r="E38" s="3"/>
      <x:c r="F38" s="10" t="str">
        <x:v>Ver instrucciones</x:v>
      </x:c>
      <x:c r="G38" s="3"/>
      <x:c r="H38" s="3"/>
      <x:c r="I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H7:I7"/>
  </x:mergeCells>
  <x:conditionalFormatting sqref="H19:I30">
    <x:cfRule type="containsText" dxfId="6" priority="1" operator="containsText" text="Revisar"/>
  </x:conditionalFormatting>
  <x:dataValidations count="4">
    <x:dataValidation type="decimal" operator="between" sqref="D19:E28">
      <x:formula1>0</x:formula1>
      <x:formula2>100000000</x:formula2>
    </x:dataValidation>
    <x:dataValidation type="decimal" operator="between" sqref="F19:F28">
      <x:formula1>0.000001</x:formula1>
      <x:formula2>1</x:formula2>
    </x:dataValidation>
    <x:dataValidation type="decimal" operator="between" sqref="G19:G28">
      <x:formula1>0</x:formula1>
      <x:formula2>100000000</x:formula2>
    </x:dataValidation>
    <x:dataValidation type="list" sqref="C19:C28">
      <x:formula1>"g,ml,pza"</x:formula1>
    </x:dataValidation>
  </x:dataValidations>
  <x:hyperlinks>
    <x:hyperlink ref="B38" location="'Resumen'!A1" display="Volver al resumen"/>
    <x:hyperlink ref="F38" location="'Ayuda'!A1" display="Ver instrucciones"/>
  </x:hyperlinks>
  <x:pageMargins left="0.7" right="0.7" top="0.75" bottom="0.75" header="0.3" footer="0.3"/>
  <x:drawing xmlns:r="http://schemas.openxmlformats.org/officeDocument/2006/relationships" r:id="Re76f4b03118742dc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tabColor rgb="FFB58A36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16" hidden="0" customWidth="1"/>
    <x:col min="4" max="4" width="19" hidden="0" customWidth="1"/>
    <x:col min="5" max="5" width="20" hidden="0" customWidth="1"/>
    <x:col min="6" max="6" width="19" hidden="0" customWidth="1"/>
    <x:col min="7" max="7" width="19" hidden="0" customWidth="1"/>
    <x:col min="8" max="8" width="22" hidden="0" customWidth="1"/>
    <x:col min="9" max="9" width="21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4" t="str">
        <x:v>Costea una bebida</x:v>
      </x:c>
      <x:c r="C2" s="3"/>
      <x:c r="D2" s="3"/>
      <x:c r="E2" s="3"/>
      <x:c r="F2" s="3"/>
      <x:c r="G2" s="3"/>
      <x:c r="H2" s="3"/>
      <x:c r="I2" s="3"/>
    </x:row>
    <x:row r="3" ht="24" customHeight="1">
      <x:c r="A3" s="3"/>
      <x:c r="B3" s="5" t="str">
        <x:v>Ejemplo didáctico en MXN. Ingredientes y precio neto por porción.</x:v>
      </x:c>
      <x:c r="C3" s="3"/>
      <x:c r="D3" s="3"/>
      <x:c r="E3" s="3"/>
      <x:c r="F3" s="3"/>
      <x:c r="G3" s="3"/>
      <x:c r="H3" s="3"/>
      <x:c r="I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24" customHeight="1">
      <x:c r="A7" s="3"/>
      <x:c r="B7" s="3" t="str">
        <x:v>Costo por porción</x:v>
      </x:c>
      <x:c r="C7" s="3"/>
      <x:c r="D7" s="3"/>
      <x:c r="E7" s="3" t="str">
        <x:v>Precio sin IVA</x:v>
      </x:c>
      <x:c r="F7" s="3"/>
      <x:c r="G7" s="3"/>
      <x:c r="H7" s="3" t="str">
        <x:v>Margen sobre ingredientes</x:v>
      </x:c>
      <x:c r="I7" s="3"/>
    </x:row>
    <x:row r="8" ht="24" customHeight="1">
      <x:c r="A8" s="3"/>
      <x:c r="B8" s="3"/>
      <x:c r="C8" s="26" t="n">
        <x:f>IF(AND(ISNUMBER(I30),ISNUMBER(C12),C12&gt;0),I30/C12,"Revisar datos")</x:f>
        <x:v>4.6499999999999995</x:v>
      </x:c>
      <x:c r="D8" s="3"/>
      <x:c r="E8" s="3"/>
      <x:c r="F8" s="26" t="n">
        <x:f>IF(AND(ISNUMBER(C13),C13&gt;=0),C13,"Falta precio")</x:f>
        <x:v>35</x:v>
      </x:c>
      <x:c r="G8" s="3"/>
      <x:c r="H8" s="3"/>
      <x:c r="I8" s="43" t="n">
        <x:f>IF(AND(ISNUMBER(C8),ISNUMBER(F8),F8&gt;0),(F8-C8)/F8,"n.a.")</x:f>
        <x:v>0.8671428571428572</x:v>
      </x:c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</x:row>
    <x:row r="11" ht="24" customHeight="1">
      <x:c r="A11" s="3"/>
      <x:c r="B11" s="3" t="str">
        <x:v>Receta</x:v>
      </x:c>
      <x:c r="C11" s="24" t="str">
        <x:v>Limonada de ejemplo</x:v>
      </x:c>
      <x:c r="D11" s="3"/>
      <x:c r="E11" s="5" t="str">
        <x:v>Misma unidad al comprar y dosificar: g, ml o pza.</x:v>
      </x:c>
      <x:c r="F11" s="5"/>
      <x:c r="G11" s="5"/>
      <x:c r="H11" s="5"/>
      <x:c r="I11" s="5"/>
    </x:row>
    <x:row r="12" ht="24" customHeight="1">
      <x:c r="A12" s="3"/>
      <x:c r="B12" s="3" t="str">
        <x:v>Porciones obtenidas</x:v>
      </x:c>
      <x:c r="C12" s="39" t="n">
        <x:v>4</x:v>
      </x:c>
      <x:c r="D12" s="3"/>
      <x:c r="E12" s="5" t="str">
        <x:v>Rendimiento útil: 90% aprovecha 900 de 1,000 g.</x:v>
      </x:c>
      <x:c r="F12" s="5"/>
      <x:c r="G12" s="5"/>
      <x:c r="H12" s="5"/>
      <x:c r="I12" s="5"/>
    </x:row>
    <x:row r="13" ht="24" customHeight="1">
      <x:c r="A13" s="3"/>
      <x:c r="B13" s="3" t="str">
        <x:v>Precio neto por porción</x:v>
      </x:c>
      <x:c r="C13" s="38" t="n">
        <x:v>35</x:v>
      </x:c>
      <x:c r="D13" s="3"/>
      <x:c r="E13" s="5" t="str">
        <x:v>Margen sin renta, nómina, comisiones ni otros gastos.</x:v>
      </x:c>
      <x:c r="F13" s="5"/>
      <x:c r="G13" s="5"/>
      <x:c r="H13" s="5"/>
      <x:c r="I13" s="5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24" customHeight="1">
      <x:c r="A16" s="3"/>
      <x:c r="B16" s="44" t="str">
        <x:v>Ingredientes de la receta completa</x:v>
      </x:c>
      <x:c r="C16" s="3"/>
      <x:c r="D16" s="3"/>
      <x:c r="E16" s="3"/>
      <x:c r="F16" s="3"/>
      <x:c r="G16" s="3"/>
      <x:c r="H16" s="3"/>
      <x:c r="I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44" customHeight="1">
      <x:c r="A18" s="3"/>
      <x:c r="B18" s="35" t="str">
        <x:v>Ingrediente</x:v>
      </x:c>
      <x:c r="C18" s="36" t="str">
        <x:v>Unidad base</x:v>
      </x:c>
      <x:c r="D18" s="36" t="str">
        <x:v>Cantidad comprada</x:v>
      </x:c>
      <x:c r="E18" s="36" t="str">
        <x:v>Costo de compra</x:v>
      </x:c>
      <x:c r="F18" s="36" t="str">
        <x:v>Rendimiento útil</x:v>
      </x:c>
      <x:c r="G18" s="36" t="str">
        <x:v>Cantidad en receta</x:v>
      </x:c>
      <x:c r="H18" s="36" t="str">
        <x:v>Costo por unidad útil</x:v>
      </x:c>
      <x:c r="I18" s="37" t="str">
        <x:v>Costo en receta</x:v>
      </x:c>
    </x:row>
    <x:row r="19" ht="24" customHeight="1">
      <x:c r="A19" s="3"/>
      <x:c r="B19" s="24" t="str">
        <x:v>Agua</x:v>
      </x:c>
      <x:c r="C19" s="24" t="str">
        <x:v>ml</x:v>
      </x:c>
      <x:c r="D19" s="41" t="n">
        <x:v>1000</x:v>
      </x:c>
      <x:c r="E19" s="38" t="n">
        <x:v>2</x:v>
      </x:c>
      <x:c r="F19" s="45" t="n">
        <x:v>1</x:v>
      </x:c>
      <x:c r="G19" s="41" t="n">
        <x:v>800</x:v>
      </x:c>
      <x:c r="H19" s="46" t="n">
        <x:f>IF(COUNTA(B19:G19)=0,"",IF(AND(B19&lt;&gt;"",C19&lt;&gt;"",ISNUMBER(D19),D19&gt;0,ISNUMBER(E19),E19&gt;=0,ISNUMBER(F19),F19&gt;0,F19&lt;=1),E19/(D19*F19),"Revisar datos"))</x:f>
        <x:v>0.002</x:v>
      </x:c>
      <x:c r="I19" s="16" t="n">
        <x:f>IF(COUNTA(B19:G19)=0,"",IF(AND(ISNUMBER(H19),ISNUMBER(G19),G19&gt;=0),H19*G19,"Revisar datos"))</x:f>
        <x:v>1.6</x:v>
      </x:c>
    </x:row>
    <x:row r="20" ht="24" customHeight="1">
      <x:c r="A20" s="3"/>
      <x:c r="B20" s="24" t="str">
        <x:v>Limón</x:v>
      </x:c>
      <x:c r="C20" s="24" t="str">
        <x:v>g</x:v>
      </x:c>
      <x:c r="D20" s="41" t="n">
        <x:v>1000</x:v>
      </x:c>
      <x:c r="E20" s="38" t="n">
        <x:v>60</x:v>
      </x:c>
      <x:c r="F20" s="45" t="n">
        <x:v>0.5</x:v>
      </x:c>
      <x:c r="G20" s="41" t="n">
        <x:v>120</x:v>
      </x:c>
      <x:c r="H20" s="46" t="n">
        <x:f>IF(COUNTA(B20:G20)=0,"",IF(AND(B20&lt;&gt;"",C20&lt;&gt;"",ISNUMBER(D20),D20&gt;0,ISNUMBER(E20),E20&gt;=0,ISNUMBER(F20),F20&gt;0,F20&lt;=1),E20/(D20*F20),"Revisar datos"))</x:f>
        <x:v>0.12</x:v>
      </x:c>
      <x:c r="I20" s="16" t="n">
        <x:f>IF(COUNTA(B20:G20)=0,"",IF(AND(ISNUMBER(H20),ISNUMBER(G20),G20&gt;=0),H20*G20,"Revisar datos"))</x:f>
        <x:v>14.399999999999999</x:v>
      </x:c>
    </x:row>
    <x:row r="21" ht="24" customHeight="1">
      <x:c r="A21" s="3"/>
      <x:c r="B21" s="24" t="str">
        <x:v>Azúcar</x:v>
      </x:c>
      <x:c r="C21" s="24" t="str">
        <x:v>g</x:v>
      </x:c>
      <x:c r="D21" s="41" t="n">
        <x:v>1000</x:v>
      </x:c>
      <x:c r="E21" s="38" t="n">
        <x:v>30</x:v>
      </x:c>
      <x:c r="F21" s="45" t="n">
        <x:v>1</x:v>
      </x:c>
      <x:c r="G21" s="41" t="n">
        <x:v>60</x:v>
      </x:c>
      <x:c r="H21" s="46" t="n">
        <x:f>IF(COUNTA(B21:G21)=0,"",IF(AND(B21&lt;&gt;"",C21&lt;&gt;"",ISNUMBER(D21),D21&gt;0,ISNUMBER(E21),E21&gt;=0,ISNUMBER(F21),F21&gt;0,F21&lt;=1),E21/(D21*F21),"Revisar datos"))</x:f>
        <x:v>0.03</x:v>
      </x:c>
      <x:c r="I21" s="16" t="n">
        <x:f>IF(COUNTA(B21:G21)=0,"",IF(AND(ISNUMBER(H21),ISNUMBER(G21),G21&gt;=0),H21*G21,"Revisar datos"))</x:f>
        <x:v>1.7999999999999998</x:v>
      </x:c>
    </x:row>
    <x:row r="22" ht="24" customHeight="1">
      <x:c r="A22" s="3"/>
      <x:c r="B22" s="24" t="str">
        <x:v>Hielo</x:v>
      </x:c>
      <x:c r="C22" s="24" t="str">
        <x:v>g</x:v>
      </x:c>
      <x:c r="D22" s="41" t="n">
        <x:v>1000</x:v>
      </x:c>
      <x:c r="E22" s="38" t="n">
        <x:v>4</x:v>
      </x:c>
      <x:c r="F22" s="45" t="n">
        <x:v>1</x:v>
      </x:c>
      <x:c r="G22" s="41" t="n">
        <x:v>200</x:v>
      </x:c>
      <x:c r="H22" s="46" t="n">
        <x:f>IF(COUNTA(B22:G22)=0,"",IF(AND(B22&lt;&gt;"",C22&lt;&gt;"",ISNUMBER(D22),D22&gt;0,ISNUMBER(E22),E22&gt;=0,ISNUMBER(F22),F22&gt;0,F22&lt;=1),E22/(D22*F22),"Revisar datos"))</x:f>
        <x:v>0.004</x:v>
      </x:c>
      <x:c r="I22" s="16" t="n">
        <x:f>IF(COUNTA(B22:G22)=0,"",IF(AND(ISNUMBER(H22),ISNUMBER(G22),G22&gt;=0),H22*G22,"Revisar datos"))</x:f>
        <x:v>0.8</x:v>
      </x:c>
    </x:row>
    <x:row r="23" ht="24" customHeight="1">
      <x:c r="A23" s="3"/>
      <x:c r="B23" s="24"/>
      <x:c r="C23" s="24"/>
      <x:c r="D23" s="41"/>
      <x:c r="E23" s="38"/>
      <x:c r="F23" s="45"/>
      <x:c r="G23" s="41"/>
      <x:c r="H23" s="46" t="str">
        <x:f>IF(COUNTA(B23:G23)=0,"",IF(AND(B23&lt;&gt;"",C23&lt;&gt;"",ISNUMBER(D23),D23&gt;0,ISNUMBER(E23),E23&gt;=0,ISNUMBER(F23),F23&gt;0,F23&lt;=1),E23/(D23*F23),"Revisar datos"))</x:f>
      </x:c>
      <x:c r="I23" s="16" t="str">
        <x:f>IF(COUNTA(B23:G23)=0,"",IF(AND(ISNUMBER(H23),ISNUMBER(G23),G23&gt;=0),H23*G23,"Revisar datos"))</x:f>
      </x:c>
    </x:row>
    <x:row r="24" ht="24" customHeight="1">
      <x:c r="A24" s="3"/>
      <x:c r="B24" s="24"/>
      <x:c r="C24" s="24"/>
      <x:c r="D24" s="41"/>
      <x:c r="E24" s="38"/>
      <x:c r="F24" s="45"/>
      <x:c r="G24" s="41"/>
      <x:c r="H24" s="46" t="str">
        <x:f>IF(COUNTA(B24:G24)=0,"",IF(AND(B24&lt;&gt;"",C24&lt;&gt;"",ISNUMBER(D24),D24&gt;0,ISNUMBER(E24),E24&gt;=0,ISNUMBER(F24),F24&gt;0,F24&lt;=1),E24/(D24*F24),"Revisar datos"))</x:f>
      </x:c>
      <x:c r="I24" s="16" t="str">
        <x:f>IF(COUNTA(B24:G24)=0,"",IF(AND(ISNUMBER(H24),ISNUMBER(G24),G24&gt;=0),H24*G24,"Revisar datos"))</x:f>
      </x:c>
    </x:row>
    <x:row r="25" ht="24" customHeight="1">
      <x:c r="A25" s="3"/>
      <x:c r="B25" s="24"/>
      <x:c r="C25" s="24"/>
      <x:c r="D25" s="41"/>
      <x:c r="E25" s="38"/>
      <x:c r="F25" s="45"/>
      <x:c r="G25" s="41"/>
      <x:c r="H25" s="46" t="str">
        <x:f>IF(COUNTA(B25:G25)=0,"",IF(AND(B25&lt;&gt;"",C25&lt;&gt;"",ISNUMBER(D25),D25&gt;0,ISNUMBER(E25),E25&gt;=0,ISNUMBER(F25),F25&gt;0,F25&lt;=1),E25/(D25*F25),"Revisar datos"))</x:f>
      </x:c>
      <x:c r="I25" s="16" t="str">
        <x:f>IF(COUNTA(B25:G25)=0,"",IF(AND(ISNUMBER(H25),ISNUMBER(G25),G25&gt;=0),H25*G25,"Revisar datos"))</x:f>
      </x:c>
    </x:row>
    <x:row r="26" ht="24" customHeight="1">
      <x:c r="A26" s="3"/>
      <x:c r="B26" s="24"/>
      <x:c r="C26" s="24"/>
      <x:c r="D26" s="41"/>
      <x:c r="E26" s="38"/>
      <x:c r="F26" s="45"/>
      <x:c r="G26" s="41"/>
      <x:c r="H26" s="46" t="str">
        <x:f>IF(COUNTA(B26:G26)=0,"",IF(AND(B26&lt;&gt;"",C26&lt;&gt;"",ISNUMBER(D26),D26&gt;0,ISNUMBER(E26),E26&gt;=0,ISNUMBER(F26),F26&gt;0,F26&lt;=1),E26/(D26*F26),"Revisar datos"))</x:f>
      </x:c>
      <x:c r="I26" s="16" t="str">
        <x:f>IF(COUNTA(B26:G26)=0,"",IF(AND(ISNUMBER(H26),ISNUMBER(G26),G26&gt;=0),H26*G26,"Revisar datos"))</x:f>
      </x:c>
    </x:row>
    <x:row r="27" ht="24" customHeight="1">
      <x:c r="A27" s="3"/>
      <x:c r="B27" s="24"/>
      <x:c r="C27" s="24"/>
      <x:c r="D27" s="41"/>
      <x:c r="E27" s="38"/>
      <x:c r="F27" s="45"/>
      <x:c r="G27" s="41"/>
      <x:c r="H27" s="46" t="str">
        <x:f>IF(COUNTA(B27:G27)=0,"",IF(AND(B27&lt;&gt;"",C27&lt;&gt;"",ISNUMBER(D27),D27&gt;0,ISNUMBER(E27),E27&gt;=0,ISNUMBER(F27),F27&gt;0,F27&lt;=1),E27/(D27*F27),"Revisar datos"))</x:f>
      </x:c>
      <x:c r="I27" s="16" t="str">
        <x:f>IF(COUNTA(B27:G27)=0,"",IF(AND(ISNUMBER(H27),ISNUMBER(G27),G27&gt;=0),H27*G27,"Revisar datos"))</x:f>
      </x:c>
    </x:row>
    <x:row r="28" ht="24" customHeight="1">
      <x:c r="A28" s="3"/>
      <x:c r="B28" s="24"/>
      <x:c r="C28" s="24"/>
      <x:c r="D28" s="41"/>
      <x:c r="E28" s="38"/>
      <x:c r="F28" s="45"/>
      <x:c r="G28" s="41"/>
      <x:c r="H28" s="46" t="str">
        <x:f>IF(COUNTA(B28:G28)=0,"",IF(AND(B28&lt;&gt;"",C28&lt;&gt;"",ISNUMBER(D28),D28&gt;0,ISNUMBER(E28),E28&gt;=0,ISNUMBER(F28),F28&gt;0,F28&lt;=1),E28/(D28*F28),"Revisar datos"))</x:f>
      </x:c>
      <x:c r="I28" s="16" t="str">
        <x:f>IF(COUNTA(B28:G28)=0,"",IF(AND(ISNUMBER(H28),ISNUMBER(G28),G28&gt;=0),H28*G28,"Revisar datos"))</x:f>
      </x:c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16"/>
    </x:row>
    <x:row r="30" ht="24" customHeight="1">
      <x:c r="A30" s="3"/>
      <x:c r="B30" s="3"/>
      <x:c r="C30" s="3"/>
      <x:c r="D30" s="3"/>
      <x:c r="E30" s="3"/>
      <x:c r="F30" s="3"/>
      <x:c r="G30" s="3"/>
      <x:c r="H30" s="48" t="str">
        <x:v>Total receta</x:v>
      </x:c>
      <x:c r="I30" s="49" t="n">
        <x:f>IF(COUNTIFS(I19:I28,"Revisar datos")&gt;0,"Revisar datos",IF(COUNTA(B19:B28)=0,"Faltan ingredientes",SUM(I19:I28)))</x:f>
        <x:v>18.599999999999998</x:v>
      </x:c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</x:row>
    <x:row r="33" ht="24" customHeight="1">
      <x:c r="A33" s="3"/>
      <x:c r="B33" s="5" t="str">
        <x:v>Captura compra, rendimiento y cantidad usada. No agregues merma otra vez.</x:v>
      </x:c>
      <x:c r="C33" s="5"/>
      <x:c r="D33" s="5"/>
      <x:c r="E33" s="5"/>
      <x:c r="F33" s="5"/>
      <x:c r="G33" s="5"/>
      <x:c r="H33" s="5"/>
      <x:c r="I33" s="5"/>
    </x:row>
    <x:row r="34" ht="24" customHeight="1">
      <x:c r="A34" s="3"/>
      <x:c r="B34" s="5" t="str">
        <x:v>El costo calculado es de ingredientes. No representa el costo completo del producto.</x:v>
      </x:c>
      <x:c r="C34" s="5"/>
      <x:c r="D34" s="5"/>
      <x:c r="E34" s="5"/>
      <x:c r="F34" s="5"/>
      <x:c r="G34" s="5"/>
      <x:c r="H34" s="5"/>
      <x:c r="I34" s="5"/>
    </x:row>
    <x:row r="35" ht="24" customHeight="1">
      <x:c r="A35" s="3"/>
      <x:c r="B35" s="5" t="str">
        <x:v>Sin IVA. Los ejemplos no alimentan el porcentaje variable de Equilibrio.</x:v>
      </x:c>
      <x:c r="C35" s="5"/>
      <x:c r="D35" s="5"/>
      <x:c r="E35" s="5"/>
      <x:c r="F35" s="5"/>
      <x:c r="G35" s="5"/>
      <x:c r="H35" s="5"/>
      <x:c r="I35" s="5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24" customHeight="1">
      <x:c r="A38" s="3"/>
      <x:c r="B38" s="10" t="str">
        <x:v>Volver al resumen</x:v>
      </x:c>
      <x:c r="C38" s="3"/>
      <x:c r="D38" s="3"/>
      <x:c r="E38" s="3"/>
      <x:c r="F38" s="10" t="str">
        <x:v>Ver instrucciones</x:v>
      </x:c>
      <x:c r="G38" s="3"/>
      <x:c r="H38" s="3"/>
      <x:c r="I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H7:I7"/>
  </x:mergeCells>
  <x:conditionalFormatting sqref="H19:I30">
    <x:cfRule type="containsText" dxfId="7" priority="1" operator="containsText" text="Revisar"/>
  </x:conditionalFormatting>
  <x:dataValidations count="4">
    <x:dataValidation type="decimal" operator="between" sqref="D19:E28">
      <x:formula1>0</x:formula1>
      <x:formula2>100000000</x:formula2>
    </x:dataValidation>
    <x:dataValidation type="decimal" operator="between" sqref="F19:F28">
      <x:formula1>0.000001</x:formula1>
      <x:formula2>1</x:formula2>
    </x:dataValidation>
    <x:dataValidation type="decimal" operator="between" sqref="G19:G28">
      <x:formula1>0</x:formula1>
      <x:formula2>100000000</x:formula2>
    </x:dataValidation>
    <x:dataValidation type="list" sqref="C19:C28">
      <x:formula1>"g,ml,pza"</x:formula1>
    </x:dataValidation>
  </x:dataValidations>
  <x:hyperlinks>
    <x:hyperlink ref="B38" location="'Resumen'!A1" display="Volver al resumen"/>
    <x:hyperlink ref="F38" location="'Ayuda'!A1" display="Ver instrucciones"/>
  </x:hyperlinks>
  <x:pageMargins left="0.7" right="0.7" top="0.75" bottom="0.75" header="0.3" footer="0.3"/>
  <x:drawing xmlns:r="http://schemas.openxmlformats.org/officeDocument/2006/relationships" r:id="R6bb8fc83021540cc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tabColor rgb="FFB58A36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22" hidden="0" customWidth="1"/>
    <x:col min="4" max="4" width="23" hidden="0" customWidth="1"/>
    <x:col min="5" max="5" width="24" hidden="0" customWidth="1"/>
    <x:col min="6" max="6" width="34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3"/>
      <x:c r="B2" s="4" t="str">
        <x:v>Punto de equilibrio mensual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3"/>
      <x:c r="B3" s="5" t="str">
        <x:v>Planeación en MXN, sin IVA. Costos fijos y variables del mismo periodo.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24" customHeight="1">
      <x:c r="A7" s="3"/>
      <x:c r="B7" s="3" t="str">
        <x:v>Ventas mensuales de equilibrio</x:v>
      </x:c>
      <x:c r="C7" s="3"/>
      <x:c r="D7" s="3"/>
      <x:c r="E7" s="3"/>
      <x:c r="F7" s="3" t="str">
        <x:v>Ventas diarias de equilibrio</x:v>
      </x:c>
      <x:c r="G7" s="3"/>
      <x:c r="H7" s="3"/>
      <x:c r="I7" s="3"/>
      <x:c r="J7" s="3"/>
      <x:c r="K7" s="3"/>
      <x:c r="L7" s="3"/>
    </x:row>
    <x:row r="8" ht="24" customHeight="1">
      <x:c r="A8" s="3"/>
      <x:c r="B8" s="3"/>
      <x:c r="C8" s="3"/>
      <x:c r="D8" s="26" t="n">
        <x:f>IF(AND(ISNUMBER(D12),D12&gt;=0,D12&lt;1,ISNUMBER(D11),D11&gt;=0),D11/(1-D12),"Revisar datos")</x:f>
        <x:v>92307.6923076923</x:v>
      </x:c>
      <x:c r="E8" s="3"/>
      <x:c r="F8" s="3"/>
      <x:c r="G8" s="26" t="n">
        <x:f>IF(AND(ISNUMBER(D8),ISNUMBER(D14),D14&gt;0),D8/D14,"Revisar datos")</x:f>
        <x:v>3550.295857988165</x:v>
      </x:c>
      <x:c r="H8" s="3"/>
      <x:c r="I8" s="3"/>
      <x:c r="J8" s="3"/>
      <x:c r="K8" s="3"/>
      <x:c r="L8" s="3"/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3"/>
      <x:c r="B11" s="3" t="str">
        <x:v>Costos fijos mensuales</x:v>
      </x:c>
      <x:c r="C11" s="3"/>
      <x:c r="D11" s="38" t="n">
        <x:v>60000</x:v>
      </x:c>
      <x:c r="E11" s="3"/>
      <x:c r="F11" s="3" t="str">
        <x:v>Margen de contribución</x:v>
      </x:c>
      <x:c r="G11" s="50" t="n">
        <x:f>IF(AND(ISNUMBER(D12),D12&gt;=0,D12&lt;1),1-D12,"Revisar datos")</x:f>
        <x:v>0.65</x:v>
      </x:c>
      <x:c r="H11" s="3"/>
      <x:c r="I11" s="3"/>
      <x:c r="J11" s="3"/>
      <x:c r="K11" s="3"/>
      <x:c r="L11" s="3"/>
    </x:row>
    <x:row r="12" ht="24" customHeight="1">
      <x:c r="A12" s="3"/>
      <x:c r="B12" s="3" t="str">
        <x:v>Costo variable / ventas netas</x:v>
      </x:c>
      <x:c r="C12" s="3"/>
      <x:c r="D12" s="45" t="n">
        <x:v>0.35</x:v>
      </x:c>
      <x:c r="E12" s="3"/>
      <x:c r="F12" s="3"/>
      <x:c r="G12" s="3"/>
      <x:c r="H12" s="3"/>
      <x:c r="I12" s="3"/>
      <x:c r="J12" s="3"/>
      <x:c r="K12" s="3"/>
      <x:c r="L12" s="3"/>
    </x:row>
    <x:row r="13" ht="24" customHeight="1">
      <x:c r="A13" s="3"/>
      <x:c r="B13" s="3" t="str">
        <x:v>Ticket promedio sin IVA</x:v>
      </x:c>
      <x:c r="C13" s="3"/>
      <x:c r="D13" s="38" t="n">
        <x:v>180</x:v>
      </x:c>
      <x:c r="E13" s="3"/>
      <x:c r="F13" s="3" t="str">
        <x:v>Tickets necesarios por mes</x:v>
      </x:c>
      <x:c r="G13" s="17" t="n">
        <x:f>IF(AND(ISNUMBER(D8),ISNUMBER(D13),D13&gt;0),ROUNDUP(D8/D13,0),"Revisar datos")</x:f>
        <x:v>513</x:v>
      </x:c>
      <x:c r="H13" s="3"/>
      <x:c r="I13" s="3"/>
      <x:c r="J13" s="3"/>
      <x:c r="K13" s="3"/>
      <x:c r="L13" s="3"/>
    </x:row>
    <x:row r="14" ht="24" customHeight="1">
      <x:c r="A14" s="3"/>
      <x:c r="B14" s="3" t="str">
        <x:v>Días de operación al mes</x:v>
      </x:c>
      <x:c r="C14" s="3"/>
      <x:c r="D14" s="39" t="n">
        <x:v>26</x:v>
      </x:c>
      <x:c r="E14" s="3"/>
      <x:c r="F14" s="3"/>
      <x:c r="G14" s="17"/>
      <x:c r="H14" s="3"/>
      <x:c r="I14" s="3"/>
      <x:c r="J14" s="3"/>
      <x:c r="K14" s="3"/>
      <x:c r="L14" s="3"/>
    </x:row>
    <x:row r="15" ht="24" customHeight="1">
      <x:c r="A15" s="3"/>
      <x:c r="B15" s="3"/>
      <x:c r="C15" s="3"/>
      <x:c r="D15" s="3"/>
      <x:c r="E15" s="3"/>
      <x:c r="F15" s="3" t="str">
        <x:v>Tickets necesarios por día</x:v>
      </x:c>
      <x:c r="G15" s="17" t="n">
        <x:f>IF(AND(ISNUMBER(G13),ISNUMBER(D14),D14&gt;0),ROUNDUP(G13/D14,0),"Revisar datos")</x:f>
        <x:v>20</x:v>
      </x:c>
      <x:c r="H15" s="3"/>
      <x:c r="I15" s="3"/>
      <x:c r="J15" s="3"/>
      <x:c r="K15" s="3"/>
      <x:c r="L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4" customHeight="1">
      <x:c r="A18" s="3"/>
      <x:c r="B18" s="44" t="str">
        <x:v>Prueba de nivel de ventas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44" customHeight="1">
      <x:c r="A20" s="3"/>
      <x:c r="B20" s="35" t="str">
        <x:v>Ventas netas al mes</x:v>
      </x:c>
      <x:c r="C20" s="36" t="str">
        <x:v>Costos variables</x:v>
      </x:c>
      <x:c r="D20" s="36" t="str">
        <x:v>Costo total</x:v>
      </x:c>
      <x:c r="E20" s="37" t="str">
        <x:v>Resultado antes de impuestos</x:v>
      </x:c>
      <x:c r="F20" s="3"/>
      <x:c r="G20" s="3"/>
      <x:c r="H20" s="3"/>
      <x:c r="I20" s="3"/>
      <x:c r="J20" s="3"/>
      <x:c r="K20" s="3"/>
      <x:c r="L20" s="3"/>
    </x:row>
    <x:row r="21" ht="24" customHeight="1">
      <x:c r="A21" s="3"/>
      <x:c r="B21" s="38" t="n">
        <x:v>0</x:v>
      </x:c>
      <x:c r="C21" s="16" t="n">
        <x:f>IF(AND(ISNUMBER($D$8),ISNUMBER(B21),B21&gt;=0),B21*$D$12,"Revisar datos")</x:f>
        <x:v>0</x:v>
      </x:c>
      <x:c r="D21" s="16" t="n">
        <x:f>IF(ISNUMBER(C21),$D$11+C21,"Revisar datos")</x:f>
        <x:v>60000</x:v>
      </x:c>
      <x:c r="E21" s="16" t="n">
        <x:f>IF(ISNUMBER(D21),B21-D21,"Revisar datos")</x:f>
        <x:v>-60000</x:v>
      </x:c>
      <x:c r="F21" s="3"/>
      <x:c r="G21" s="3"/>
      <x:c r="H21" s="3"/>
      <x:c r="I21" s="3"/>
      <x:c r="J21" s="3"/>
      <x:c r="K21" s="3"/>
      <x:c r="L21" s="3"/>
    </x:row>
    <x:row r="22" ht="24" customHeight="1">
      <x:c r="A22" s="3"/>
      <x:c r="B22" s="38" t="n">
        <x:v>50000</x:v>
      </x:c>
      <x:c r="C22" s="16" t="n">
        <x:f>IF(AND(ISNUMBER($D$8),ISNUMBER(B22),B22&gt;=0),B22*$D$12,"Revisar datos")</x:f>
        <x:v>17500</x:v>
      </x:c>
      <x:c r="D22" s="16" t="n">
        <x:f>IF(ISNUMBER(C22),$D$11+C22,"Revisar datos")</x:f>
        <x:v>77500</x:v>
      </x:c>
      <x:c r="E22" s="16" t="n">
        <x:f>IF(ISNUMBER(D22),B22-D22,"Revisar datos")</x:f>
        <x:v>-27500</x:v>
      </x:c>
      <x:c r="F22" s="3"/>
      <x:c r="G22" s="3"/>
      <x:c r="H22" s="3"/>
      <x:c r="I22" s="3"/>
      <x:c r="J22" s="3"/>
      <x:c r="K22" s="3"/>
      <x:c r="L22" s="3"/>
    </x:row>
    <x:row r="23" ht="24" customHeight="1">
      <x:c r="A23" s="3"/>
      <x:c r="B23" s="38" t="n">
        <x:v>75000</x:v>
      </x:c>
      <x:c r="C23" s="16" t="n">
        <x:f>IF(AND(ISNUMBER($D$8),ISNUMBER(B23),B23&gt;=0),B23*$D$12,"Revisar datos")</x:f>
        <x:v>26250</x:v>
      </x:c>
      <x:c r="D23" s="16" t="n">
        <x:f>IF(ISNUMBER(C23),$D$11+C23,"Revisar datos")</x:f>
        <x:v>86250</x:v>
      </x:c>
      <x:c r="E23" s="16" t="n">
        <x:f>IF(ISNUMBER(D23),B23-D23,"Revisar datos")</x:f>
        <x:v>-11250</x:v>
      </x:c>
      <x:c r="F23" s="3"/>
      <x:c r="G23" s="3"/>
      <x:c r="H23" s="3"/>
      <x:c r="I23" s="3"/>
      <x:c r="J23" s="3"/>
      <x:c r="K23" s="3"/>
      <x:c r="L23" s="3"/>
    </x:row>
    <x:row r="24" ht="24" customHeight="1">
      <x:c r="A24" s="3"/>
      <x:c r="B24" s="38" t="n">
        <x:v>100000</x:v>
      </x:c>
      <x:c r="C24" s="16" t="n">
        <x:f>IF(AND(ISNUMBER($D$8),ISNUMBER(B24),B24&gt;=0),B24*$D$12,"Revisar datos")</x:f>
        <x:v>35000</x:v>
      </x:c>
      <x:c r="D24" s="16" t="n">
        <x:f>IF(ISNUMBER(C24),$D$11+C24,"Revisar datos")</x:f>
        <x:v>95000</x:v>
      </x:c>
      <x:c r="E24" s="16" t="n">
        <x:f>IF(ISNUMBER(D24),B24-D24,"Revisar datos")</x:f>
        <x:v>5000</x:v>
      </x:c>
      <x:c r="F24" s="3"/>
      <x:c r="G24" s="3"/>
      <x:c r="H24" s="3"/>
      <x:c r="I24" s="3"/>
      <x:c r="J24" s="3"/>
      <x:c r="K24" s="3"/>
      <x:c r="L24" s="3"/>
    </x:row>
    <x:row r="25" ht="24" customHeight="1">
      <x:c r="A25" s="3"/>
      <x:c r="B25" s="38" t="n">
        <x:v>125000</x:v>
      </x:c>
      <x:c r="C25" s="16" t="n">
        <x:f>IF(AND(ISNUMBER($D$8),ISNUMBER(B25),B25&gt;=0),B25*$D$12,"Revisar datos")</x:f>
        <x:v>43750</x:v>
      </x:c>
      <x:c r="D25" s="16" t="n">
        <x:f>IF(ISNUMBER(C25),$D$11+C25,"Revisar datos")</x:f>
        <x:v>103750</x:v>
      </x:c>
      <x:c r="E25" s="16" t="n">
        <x:f>IF(ISNUMBER(D25),B25-D25,"Revisar datos")</x:f>
        <x:v>21250</x:v>
      </x:c>
      <x:c r="F25" s="3"/>
      <x:c r="G25" s="3"/>
      <x:c r="H25" s="3"/>
      <x:c r="I25" s="3"/>
      <x:c r="J25" s="3"/>
      <x:c r="K25" s="3"/>
      <x:c r="L25" s="3"/>
    </x:row>
    <x:row r="26" ht="24" customHeight="1">
      <x:c r="A26" s="3"/>
      <x:c r="B26" s="38" t="n">
        <x:v>150000</x:v>
      </x:c>
      <x:c r="C26" s="16" t="n">
        <x:f>IF(AND(ISNUMBER($D$8),ISNUMBER(B26),B26&gt;=0),B26*$D$12,"Revisar datos")</x:f>
        <x:v>52500</x:v>
      </x:c>
      <x:c r="D26" s="16" t="n">
        <x:f>IF(ISNUMBER(C26),$D$11+C26,"Revisar datos")</x:f>
        <x:v>112500</x:v>
      </x:c>
      <x:c r="E26" s="16" t="n">
        <x:f>IF(ISNUMBER(D26),B26-D26,"Revisar datos")</x:f>
        <x:v>37500</x:v>
      </x:c>
      <x:c r="F26" s="3"/>
      <x:c r="G26" s="3"/>
      <x:c r="H26" s="3"/>
      <x:c r="I26" s="3"/>
      <x:c r="J26" s="3"/>
      <x:c r="K26" s="3"/>
      <x:c r="L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4" customHeight="1">
      <x:c r="A45" s="3"/>
      <x:c r="B45" s="5" t="str">
        <x:v>Costos fijos: renta, nómina fija y compromisos mensuales.</x:v>
      </x:c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 ht="24" customHeight="1">
      <x:c r="A46" s="3"/>
      <x:c r="B46" s="5" t="str">
        <x:v>Variables: ingredientes, empaque, comisiones y costos que dependen de vender.</x:v>
      </x:c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 ht="24" customHeight="1">
      <x:c r="A47" s="3"/>
      <x:c r="B47" s="5" t="str">
        <x:v>Usa la mezcla de ventas. No sustituyas ese porcentaje por el costo de una receta.</x:v>
      </x:c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 ht="24" customHeight="1">
      <x:c r="A48" s="3"/>
      <x:c r="B48" s="5" t="str">
        <x:v>Un costo variable de 100% o más impide cubrir costos fijos con ventas positivas.</x:v>
      </x:c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 ht="24" customHeight="1">
      <x:c r="A49" s="3"/>
      <x:c r="B49" s="5" t="str">
        <x:v>El resultado no incluye IVA, ISR, intereses ni costos omitidos. No equivale a flujo de caja.</x:v>
      </x:c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4" customHeight="1">
      <x:c r="A52" s="3"/>
      <x:c r="B52" s="10" t="str">
        <x:v>Volver al resumen</x:v>
      </x:c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</x:sheetData>
  <x:conditionalFormatting sqref="E21:E26">
    <x:cfRule type="cellIs" dxfId="8" priority="1" operator="lessThan">
      <x:formula>0</x:formula>
    </x:cfRule>
  </x:conditionalFormatting>
  <x:conditionalFormatting sqref="D8:G15">
    <x:cfRule type="containsText" dxfId="9" priority="2" operator="containsText" text="Revisar"/>
  </x:conditionalFormatting>
  <x:hyperlinks>
    <x:hyperlink ref="B52" location="'Resumen'!A1" display="Volver al resumen"/>
  </x:hyperlinks>
  <x:pageMargins left="0.7" right="0.7" top="0.75" bottom="0.75" header="0.3" footer="0.3"/>
  <x:drawing xmlns:r="http://schemas.openxmlformats.org/officeDocument/2006/relationships" r:id="R381d7e1bd55f43a6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tabColor rgb="FF9BADA3"/>
  </x:sheetPr>
  <x:sheetViews>
    <x:sheetView showGridLines="0" workbookViewId="0"/>
  </x:sheetViews>
  <x:sheetFormatPr defaultRowHeight="15"/>
  <x:cols>
    <x:col min="1" max="1" width="3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4" t="str">
        <x:v>Cómo usar la herramienta</x:v>
      </x:c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3"/>
      <x:c r="B3" s="5" t="str">
        <x:v>Empieza por tus datos y conserva una copia antes de iniciar un nuevo ciclo.</x:v>
      </x:c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4" customHeight="1">
      <x:c r="A5" s="3"/>
      <x:c r="B5" s="6"/>
      <x:c r="C5" s="6"/>
      <x:c r="D5" s="6"/>
      <x:c r="E5" s="6"/>
      <x:c r="F5" s="6"/>
      <x:c r="G5" s="6"/>
      <x:c r="H5" s="6"/>
      <x:c r="I5" s="6"/>
      <x:c r="J5" s="6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4" customHeight="1">
      <x:c r="A7" s="3"/>
      <x:c r="B7" s="44" t="str">
        <x:v>1. Define tu periodo</x:v>
      </x:c>
      <x:c r="C7" s="3"/>
      <x:c r="D7" s="3"/>
      <x:c r="E7" s="3"/>
      <x:c r="F7" s="3"/>
      <x:c r="G7" s="3"/>
      <x:c r="H7" s="3"/>
      <x:c r="I7" s="3"/>
      <x:c r="J7" s="3"/>
    </x:row>
    <x:row r="8" ht="24" customHeight="1">
      <x:c r="A8" s="3"/>
      <x:c r="B8" s="52" t="str">
        <x:v>En Ventas cambia Desde y Hasta. El resumen utiliza ese único periodo.</x:v>
      </x:c>
      <x:c r="C8" s="52"/>
      <x:c r="D8" s="52"/>
      <x:c r="E8" s="52"/>
      <x:c r="F8" s="52"/>
      <x:c r="G8" s="52"/>
      <x:c r="H8" s="52"/>
      <x:c r="I8" s="10" t="str">
        <x:v>Abrir hoja</x:v>
      </x:c>
      <x:c r="J8" s="3"/>
    </x:row>
    <x:row r="9" ht="24" customHeight="1">
      <x:c r="A9" s="3"/>
      <x:c r="B9" s="52"/>
      <x:c r="C9" s="52"/>
      <x:c r="D9" s="52"/>
      <x:c r="E9" s="52"/>
      <x:c r="F9" s="52"/>
      <x:c r="G9" s="52"/>
      <x:c r="H9" s="52"/>
      <x:c r="I9" s="3"/>
      <x:c r="J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4" customHeight="1">
      <x:c r="A11" s="3"/>
      <x:c r="B11" s="44" t="str">
        <x:v>2. Sustituye los ejemplos</x:v>
      </x:c>
      <x:c r="C11" s="3"/>
      <x:c r="D11" s="3"/>
      <x:c r="E11" s="3"/>
      <x:c r="F11" s="3"/>
      <x:c r="G11" s="3"/>
      <x:c r="H11" s="3"/>
      <x:c r="I11" s="3"/>
      <x:c r="J11" s="3"/>
    </x:row>
    <x:row r="12" ht="24" customHeight="1">
      <x:c r="A12" s="3"/>
      <x:c r="B12" s="52" t="str">
        <x:v>Las celdas amarillas son editables. Textos y cifras azules son entradas; las demás celdas calculan.</x:v>
      </x:c>
      <x:c r="C12" s="52"/>
      <x:c r="D12" s="52"/>
      <x:c r="E12" s="52"/>
      <x:c r="F12" s="52"/>
      <x:c r="G12" s="52"/>
      <x:c r="H12" s="52"/>
      <x:c r="I12" s="10" t="str">
        <x:v>Abrir hoja</x:v>
      </x:c>
      <x:c r="J12" s="3"/>
    </x:row>
    <x:row r="13" ht="24" customHeight="1">
      <x:c r="A13" s="3"/>
      <x:c r="B13" s="52"/>
      <x:c r="C13" s="52"/>
      <x:c r="D13" s="52"/>
      <x:c r="E13" s="52"/>
      <x:c r="F13" s="52"/>
      <x:c r="G13" s="52"/>
      <x:c r="H13" s="52"/>
      <x:c r="I13" s="3"/>
      <x:c r="J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4" customHeight="1">
      <x:c r="A15" s="3"/>
      <x:c r="B15" s="44" t="str">
        <x:v>3. Registra tus cierres</x:v>
      </x:c>
      <x:c r="C15" s="3"/>
      <x:c r="D15" s="3"/>
      <x:c r="E15" s="3"/>
      <x:c r="F15" s="3"/>
      <x:c r="G15" s="3"/>
      <x:c r="H15" s="3"/>
      <x:c r="I15" s="3"/>
      <x:c r="J15" s="3"/>
    </x:row>
    <x:row r="16" ht="24" customHeight="1">
      <x:c r="A16" s="3"/>
      <x:c r="B16" s="52" t="str">
        <x:v>Una fila por fecha, sin IVA ni propinas. Ventas netas, tickets, comensales y costo variable del cierre.</x:v>
      </x:c>
      <x:c r="C16" s="52"/>
      <x:c r="D16" s="52"/>
      <x:c r="E16" s="52"/>
      <x:c r="F16" s="52"/>
      <x:c r="G16" s="52"/>
      <x:c r="H16" s="52"/>
      <x:c r="I16" s="10" t="str">
        <x:v>Abrir hoja</x:v>
      </x:c>
      <x:c r="J16" s="3"/>
    </x:row>
    <x:row r="17" ht="24" customHeight="1">
      <x:c r="A17" s="3"/>
      <x:c r="B17" s="52"/>
      <x:c r="C17" s="52"/>
      <x:c r="D17" s="52"/>
      <x:c r="E17" s="52"/>
      <x:c r="F17" s="52"/>
      <x:c r="G17" s="52"/>
      <x:c r="H17" s="52"/>
      <x:c r="I17" s="3"/>
      <x:c r="J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4" customHeight="1">
      <x:c r="A19" s="3"/>
      <x:c r="B19" s="44" t="str">
        <x:v>4. Crea el catálogo</x:v>
      </x:c>
      <x:c r="C19" s="3"/>
      <x:c r="D19" s="3"/>
      <x:c r="E19" s="3"/>
      <x:c r="F19" s="3"/>
      <x:c r="G19" s="3"/>
      <x:c r="H19" s="3"/>
      <x:c r="I19" s="3"/>
      <x:c r="J19" s="3"/>
    </x:row>
    <x:row r="20" ht="24" customHeight="1">
      <x:c r="A20" s="3"/>
      <x:c r="B20" s="52" t="str">
        <x:v>Código único, unidad constante, stock inicial, mínimo, objetivo y costo de referencia por insumo.</x:v>
      </x:c>
      <x:c r="C20" s="52"/>
      <x:c r="D20" s="52"/>
      <x:c r="E20" s="52"/>
      <x:c r="F20" s="52"/>
      <x:c r="G20" s="52"/>
      <x:c r="H20" s="52"/>
      <x:c r="I20" s="10" t="str">
        <x:v>Abrir hoja</x:v>
      </x:c>
      <x:c r="J20" s="3"/>
    </x:row>
    <x:row r="21" ht="24" customHeight="1">
      <x:c r="A21" s="3"/>
      <x:c r="B21" s="52"/>
      <x:c r="C21" s="52"/>
      <x:c r="D21" s="52"/>
      <x:c r="E21" s="52"/>
      <x:c r="F21" s="52"/>
      <x:c r="G21" s="52"/>
      <x:c r="H21" s="52"/>
      <x:c r="I21" s="3"/>
      <x:c r="J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4" customHeight="1">
      <x:c r="A23" s="3"/>
      <x:c r="B23" s="44" t="str">
        <x:v>5. Registra movimientos</x:v>
      </x:c>
      <x:c r="C23" s="3"/>
      <x:c r="D23" s="3"/>
      <x:c r="E23" s="3"/>
      <x:c r="F23" s="3"/>
      <x:c r="G23" s="3"/>
      <x:c r="H23" s="3"/>
      <x:c r="I23" s="3"/>
      <x:c r="J23" s="3"/>
    </x:row>
    <x:row r="24" ht="24" customHeight="1">
      <x:c r="A24" s="3"/>
      <x:c r="B24" s="52" t="str">
        <x:v>Entrada suma; Salida y Merma restan. No registres el mismo consumo como salida y merma.</x:v>
      </x:c>
      <x:c r="C24" s="52"/>
      <x:c r="D24" s="52"/>
      <x:c r="E24" s="52"/>
      <x:c r="F24" s="52"/>
      <x:c r="G24" s="52"/>
      <x:c r="H24" s="52"/>
      <x:c r="I24" s="10" t="str">
        <x:v>Abrir hoja</x:v>
      </x:c>
      <x:c r="J24" s="3"/>
    </x:row>
    <x:row r="25" ht="24" customHeight="1">
      <x:c r="A25" s="3"/>
      <x:c r="B25" s="52"/>
      <x:c r="C25" s="52"/>
      <x:c r="D25" s="52"/>
      <x:c r="E25" s="52"/>
      <x:c r="F25" s="52"/>
      <x:c r="G25" s="52"/>
      <x:c r="H25" s="52"/>
      <x:c r="I25" s="3"/>
      <x:c r="J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4" customHeight="1">
      <x:c r="A27" s="3"/>
      <x:c r="B27" s="44" t="str">
        <x:v>6. Revisa la reposición</x:v>
      </x:c>
      <x:c r="C27" s="3"/>
      <x:c r="D27" s="3"/>
      <x:c r="E27" s="3"/>
      <x:c r="F27" s="3"/>
      <x:c r="G27" s="3"/>
      <x:c r="H27" s="3"/>
      <x:c r="I27" s="3"/>
      <x:c r="J27" s="3"/>
    </x:row>
    <x:row r="28" ht="24" customHeight="1">
      <x:c r="A28" s="3"/>
      <x:c r="B28" s="52" t="str">
        <x:v>Al llegar al mínimo, Comprar propone llegar al objetivo. Corrige primero cualquier stock negativo.</x:v>
      </x:c>
      <x:c r="C28" s="52"/>
      <x:c r="D28" s="52"/>
      <x:c r="E28" s="52"/>
      <x:c r="F28" s="52"/>
      <x:c r="G28" s="52"/>
      <x:c r="H28" s="52"/>
      <x:c r="I28" s="10" t="str">
        <x:v>Abrir hoja</x:v>
      </x:c>
      <x:c r="J28" s="3"/>
    </x:row>
    <x:row r="29" ht="24" customHeight="1">
      <x:c r="A29" s="3"/>
      <x:c r="B29" s="52"/>
      <x:c r="C29" s="52"/>
      <x:c r="D29" s="52"/>
      <x:c r="E29" s="52"/>
      <x:c r="F29" s="52"/>
      <x:c r="G29" s="52"/>
      <x:c r="H29" s="52"/>
      <x:c r="I29" s="3"/>
      <x:c r="J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4" customHeight="1">
      <x:c r="A31" s="3"/>
      <x:c r="B31" s="44" t="str">
        <x:v>7. Costea tus recetas</x:v>
      </x:c>
      <x:c r="C31" s="3"/>
      <x:c r="D31" s="3"/>
      <x:c r="E31" s="3"/>
      <x:c r="F31" s="3"/>
      <x:c r="G31" s="3"/>
      <x:c r="H31" s="3"/>
      <x:c r="I31" s="3"/>
      <x:c r="J31" s="3"/>
    </x:row>
    <x:row r="32" ht="24" customHeight="1">
      <x:c r="A32" s="3"/>
      <x:c r="B32" s="52" t="str">
        <x:v>Compra y dosifica en la misma unidad. El rendimiento útil incorpora la merma de preparación.</x:v>
      </x:c>
      <x:c r="C32" s="52"/>
      <x:c r="D32" s="52"/>
      <x:c r="E32" s="52"/>
      <x:c r="F32" s="52"/>
      <x:c r="G32" s="52"/>
      <x:c r="H32" s="52"/>
      <x:c r="I32" s="10" t="str">
        <x:v>Abrir hoja</x:v>
      </x:c>
      <x:c r="J32" s="3"/>
    </x:row>
    <x:row r="33" ht="24" customHeight="1">
      <x:c r="A33" s="3"/>
      <x:c r="B33" s="52"/>
      <x:c r="C33" s="52"/>
      <x:c r="D33" s="52"/>
      <x:c r="E33" s="52"/>
      <x:c r="F33" s="52"/>
      <x:c r="G33" s="52"/>
      <x:c r="H33" s="52"/>
      <x:c r="I33" s="3"/>
      <x:c r="J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24" customHeight="1">
      <x:c r="A35" s="3"/>
      <x:c r="B35" s="44" t="str">
        <x:v>8. Planea tus ventas</x:v>
      </x:c>
      <x:c r="C35" s="3"/>
      <x:c r="D35" s="3"/>
      <x:c r="E35" s="3"/>
      <x:c r="F35" s="3"/>
      <x:c r="G35" s="3"/>
      <x:c r="H35" s="3"/>
      <x:c r="I35" s="3"/>
      <x:c r="J35" s="3"/>
    </x:row>
    <x:row r="36" ht="24" customHeight="1">
      <x:c r="A36" s="3"/>
      <x:c r="B36" s="52" t="str">
        <x:v>Costos fijos, porcentaje variable de toda la mezcla, ticket y días de operación.</x:v>
      </x:c>
      <x:c r="C36" s="52"/>
      <x:c r="D36" s="52"/>
      <x:c r="E36" s="52"/>
      <x:c r="F36" s="52"/>
      <x:c r="G36" s="52"/>
      <x:c r="H36" s="52"/>
      <x:c r="I36" s="10" t="str">
        <x:v>Abrir hoja</x:v>
      </x:c>
      <x:c r="J36" s="3"/>
    </x:row>
    <x:row r="37" ht="24" customHeight="1">
      <x:c r="A37" s="3"/>
      <x:c r="B37" s="52"/>
      <x:c r="C37" s="52"/>
      <x:c r="D37" s="52"/>
      <x:c r="E37" s="52"/>
      <x:c r="F37" s="52"/>
      <x:c r="G37" s="52"/>
      <x:c r="H37" s="52"/>
      <x:c r="I37" s="3"/>
      <x:c r="J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24" customHeight="1">
      <x:c r="A41" s="3"/>
      <x:c r="B41" s="3" t="str">
        <x:v>Capacidad: 62 cierres diarios, 30 insumos y 150 movimientos por archivo.</x:v>
      </x:c>
      <x:c r="C41" s="3"/>
      <x:c r="D41" s="3"/>
      <x:c r="E41" s="3"/>
      <x:c r="F41" s="3"/>
      <x:c r="G41" s="3"/>
      <x:c r="H41" s="3"/>
      <x:c r="I41" s="3"/>
      <x:c r="J41" s="3"/>
    </x:row>
    <x:row r="42" ht="24" customHeight="1">
      <x:c r="A42" s="3"/>
      <x:c r="B42" s="53" t="str">
        <x:v>Antes de exceder las filas reservadas, archiva el periodo y prepara otra copia. Los gráficos y cálculos usan esos límites. No borres fórmulas ni cambies códigos que ya tengan movimientos.</x:v>
      </x:c>
      <x:c r="C42" s="53"/>
      <x:c r="D42" s="53"/>
      <x:c r="E42" s="53"/>
      <x:c r="F42" s="53"/>
      <x:c r="G42" s="53"/>
      <x:c r="H42" s="53"/>
      <x:c r="I42" s="53"/>
      <x:c r="J42" s="3"/>
    </x:row>
    <x:row r="43" ht="24" customHeight="1">
      <x:c r="A43" s="3"/>
      <x:c r="B43" s="53"/>
      <x:c r="C43" s="53"/>
      <x:c r="D43" s="53"/>
      <x:c r="E43" s="53"/>
      <x:c r="F43" s="53"/>
      <x:c r="G43" s="53"/>
      <x:c r="H43" s="53"/>
      <x:c r="I43" s="53"/>
      <x:c r="J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24" customHeight="1">
      <x:c r="A45" s="3"/>
      <x:c r="B45" s="53" t="str">
        <x:v>El inventario acumula stock inicial y todos los movimientos del archivo. El periodo de Ventas no lo filtra. Su valor usa el costo de referencia capturado, no promedio ponderado ni PEPS.</x:v>
      </x:c>
      <x:c r="C45" s="53"/>
      <x:c r="D45" s="53"/>
      <x:c r="E45" s="53"/>
      <x:c r="F45" s="53"/>
      <x:c r="G45" s="53"/>
      <x:c r="H45" s="53"/>
      <x:c r="I45" s="53"/>
      <x:c r="J45" s="3"/>
    </x:row>
    <x:row r="46" ht="24" customHeight="1">
      <x:c r="A46" s="3"/>
      <x:c r="B46" s="53"/>
      <x:c r="C46" s="53"/>
      <x:c r="D46" s="53"/>
      <x:c r="E46" s="53"/>
      <x:c r="F46" s="53"/>
      <x:c r="G46" s="53"/>
      <x:c r="H46" s="53"/>
      <x:c r="I46" s="53"/>
      <x:c r="J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</x:row>
    <x:row r="48" ht="24" customHeight="1">
      <x:c r="A48" s="3"/>
      <x:c r="B48" s="53" t="str">
        <x:v>Sin macros ni conexión bancaria o fiscal. No descuenta insumos desde ventas o recetas. Registra las salidas y el costo variable del cierre por separado.</x:v>
      </x:c>
      <x:c r="C48" s="53"/>
      <x:c r="D48" s="53"/>
      <x:c r="E48" s="53"/>
      <x:c r="F48" s="53"/>
      <x:c r="G48" s="53"/>
      <x:c r="H48" s="53"/>
      <x:c r="I48" s="53"/>
      <x:c r="J48" s="3"/>
    </x:row>
    <x:row r="49" ht="24" customHeight="1">
      <x:c r="A49" s="3"/>
      <x:c r="B49" s="53"/>
      <x:c r="C49" s="53"/>
      <x:c r="D49" s="53"/>
      <x:c r="E49" s="53"/>
      <x:c r="F49" s="53"/>
      <x:c r="G49" s="53"/>
      <x:c r="H49" s="53"/>
      <x:c r="I49" s="53"/>
      <x:c r="J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</x:row>
    <x:row r="52" ht="24" customHeight="1">
      <x:c r="A52" s="3"/>
      <x:c r="B52" s="10" t="str">
        <x:v>Volver al resumen</x:v>
      </x:c>
      <x:c r="C52" s="3"/>
      <x:c r="D52" s="3"/>
      <x:c r="E52" s="3"/>
      <x:c r="F52" s="3"/>
      <x:c r="G52" s="3"/>
      <x:c r="H52" s="3"/>
      <x:c r="I52" s="3"/>
      <x:c r="J52" s="3"/>
    </x:row>
    <x:row r="53" ht="24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</x:row>
    <x:row r="55" ht="24" customHeight="1">
      <x:c r="A55" s="3"/>
      <x:c r="B55" s="10" t="str">
        <x:v>Web de RBI</x:v>
      </x:c>
      <x:c r="C55" s="3"/>
      <x:c r="D55" s="3"/>
      <x:c r="E55" s="3"/>
      <x:c r="F55" s="10" t="str">
        <x:v>Orientación con RBI</x:v>
      </x:c>
      <x:c r="G55" s="3"/>
      <x:c r="H55" s="3"/>
      <x:c r="I55" s="3"/>
      <x:c r="J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</x:row>
  </x:sheetData>
  <x:mergeCells>
    <x:mergeCell ref="B7:I7"/>
    <x:mergeCell ref="B8:H9"/>
    <x:mergeCell ref="B11:I11"/>
    <x:mergeCell ref="B12:H13"/>
    <x:mergeCell ref="B15:I15"/>
    <x:mergeCell ref="B16:H17"/>
    <x:mergeCell ref="B19:I19"/>
    <x:mergeCell ref="B20:H21"/>
    <x:mergeCell ref="B23:I23"/>
    <x:mergeCell ref="B24:H25"/>
    <x:mergeCell ref="B27:I27"/>
    <x:mergeCell ref="B28:H29"/>
    <x:mergeCell ref="B31:I31"/>
    <x:mergeCell ref="B32:H33"/>
    <x:mergeCell ref="B35:I35"/>
    <x:mergeCell ref="B36:H37"/>
    <x:mergeCell ref="B41:I41"/>
    <x:mergeCell ref="B42:I43"/>
    <x:mergeCell ref="B45:I46"/>
    <x:mergeCell ref="B48:I49"/>
  </x:mergeCells>
  <x:hyperlinks>
    <x:hyperlink ref="I8" location="'Ventas'!A1" display="Abrir hoja"/>
    <x:hyperlink ref="I12" location="'Ventas'!A1" display="Abrir hoja"/>
    <x:hyperlink ref="I16" location="'Ventas'!A1" display="Abrir hoja"/>
    <x:hyperlink ref="I20" location="'Inventario'!A1" display="Abrir hoja"/>
    <x:hyperlink ref="I24" location="'Movimientos'!A1" display="Abrir hoja"/>
    <x:hyperlink ref="I28" location="'Inventario'!A1" display="Abrir hoja"/>
    <x:hyperlink ref="I32" location="'Platillo'!A1" display="Abrir hoja"/>
    <x:hyperlink ref="I36" location="'Equilibrio'!A1" display="Abrir hoja"/>
    <x:hyperlink ref="B52" location="'Resumen'!A1" display="Volver al resumen"/>
    <x:hyperlink ref="B55" r:id="rIdRBIlink1"/>
    <x:hyperlink ref="F55" r:id="rIdRBIlink2"/>
  </x:hyperlinks>
  <x:pageMargins left="0.7" right="0.7" top="0.75" bottom="0.75" header="0.3" footer="0.3"/>
  <x:drawing xmlns:r="http://schemas.openxmlformats.org/officeDocument/2006/relationships" r:id="Rd7ec8ef8f52d48b9"/>
</x:worksheet>
</file>